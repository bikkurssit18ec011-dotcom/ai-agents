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s" sheetId="2" state="visible" r:id="rId4"/>
    <sheet name="Call Log" sheetId="3" state="visible" r:id="rId5"/>
    <sheet name="Pitch Playbook" sheetId="4" state="visible" r:id="rId6"/>
    <sheet name="Sources &amp; Notes" sheetId="5" state="visible" r:id="rId7"/>
  </sheets>
  <definedNames>
    <definedName function="false" hidden="true" localSheetId="1" name="_xlnm._FilterDatabase" vbProcedure="false">Leads!$A$4:$X$106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Justdial / IndiaMART virtual numbers forward to the business. Ask for the owner's direct mobile and WhatsApp on the first call and update the row.</t>
        </r>
      </text>
    </comment>
    <comment ref="I4" authorId="0">
      <text>
        <r>
          <rPr>
            <sz val="10"/>
            <rFont val="Arial"/>
            <family val="2"/>
          </rPr>
          <t xml:space="preserve">WhatsApp shown as 'likely' when the listed number is a 10-digit mobile. Confirm with a WhatsApp check before messaging.</t>
        </r>
      </text>
    </comment>
    <comment ref="M4" authorId="0">
      <text>
        <r>
          <rPr>
            <sz val="10"/>
            <rFont val="Arial"/>
            <family val="2"/>
          </rPr>
          <t xml:space="preserve">'No website found' = none found in directory/web search results. 'Has website' sites could not be opened from the research environment, so audit them for lead capture (form, WhatsApp CTA, speed, mobile, reviews) before pitching.</t>
        </r>
      </text>
    </comment>
  </commentList>
</comments>
</file>

<file path=xl/sharedStrings.xml><?xml version="1.0" encoding="utf-8"?>
<sst xmlns="http://schemas.openxmlformats.org/spreadsheetml/2006/main" count="2094" uniqueCount="816">
  <si>
    <t xml:space="preserve">Lead Pipeline Dashboard</t>
  </si>
  <si>
    <t xml:space="preserve">Updates automatically from the Leads and Call Log sheets. Charts fill in as you log calls and set Lead Status.</t>
  </si>
  <si>
    <t xml:space="preserve">Total Leads</t>
  </si>
  <si>
    <t xml:space="preserve">Calls Made</t>
  </si>
  <si>
    <t xml:space="preserve">Leads Contacted</t>
  </si>
  <si>
    <t xml:space="preserve">Interested / Meeting</t>
  </si>
  <si>
    <t xml:space="preserve">Converted</t>
  </si>
  <si>
    <t xml:space="preserve">Conversion Rate</t>
  </si>
  <si>
    <t xml:space="preserve">Revenue Won (Rs)</t>
  </si>
  <si>
    <t xml:space="preserve">No-Website Leads</t>
  </si>
  <si>
    <t xml:space="preserve">Conversion rate = Converted / Leads Contacted.</t>
  </si>
  <si>
    <t xml:space="preserve">Performance by Niche</t>
  </si>
  <si>
    <t xml:space="preserve">Call Outcomes (all calls)</t>
  </si>
  <si>
    <t xml:space="preserve">Contacted Leads: Converted vs Not</t>
  </si>
  <si>
    <t xml:space="preserve">Niche</t>
  </si>
  <si>
    <t xml:space="preserve">Leads</t>
  </si>
  <si>
    <t xml:space="preserve">Contacted</t>
  </si>
  <si>
    <t xml:space="preserve">Conv. Rate</t>
  </si>
  <si>
    <t xml:space="preserve">Outcome</t>
  </si>
  <si>
    <t xml:space="preserve">Calls</t>
  </si>
  <si>
    <t xml:space="preserve">Result</t>
  </si>
  <si>
    <t xml:space="preserve">Solar Installation</t>
  </si>
  <si>
    <t xml:space="preserve">No Answer</t>
  </si>
  <si>
    <t xml:space="preserve">Spice Brand</t>
  </si>
  <si>
    <t xml:space="preserve">Call Back Later</t>
  </si>
  <si>
    <t xml:space="preserve">Not converted yet</t>
  </si>
  <si>
    <t xml:space="preserve">Food Manufacturer</t>
  </si>
  <si>
    <t xml:space="preserve">Interested</t>
  </si>
  <si>
    <t xml:space="preserve">Not contacted</t>
  </si>
  <si>
    <t xml:space="preserve">Interior Design</t>
  </si>
  <si>
    <t xml:space="preserve">Meeting Booked</t>
  </si>
  <si>
    <t xml:space="preserve">Furniture Shop</t>
  </si>
  <si>
    <t xml:space="preserve">Proposal Sent</t>
  </si>
  <si>
    <t xml:space="preserve">Lead Status</t>
  </si>
  <si>
    <t xml:space="preserve">Total</t>
  </si>
  <si>
    <t xml:space="preserve">Status</t>
  </si>
  <si>
    <t xml:space="preserve">Not Interested</t>
  </si>
  <si>
    <t xml:space="preserve">Not Contacted</t>
  </si>
  <si>
    <t xml:space="preserve">Wrong / Invalid Number</t>
  </si>
  <si>
    <t xml:space="preserve">Called - No Answer</t>
  </si>
  <si>
    <t xml:space="preserve">Called - Call Back Later</t>
  </si>
  <si>
    <t xml:space="preserve">Meeting / Proposal Sent</t>
  </si>
  <si>
    <t xml:space="preserve">Invalid Number</t>
  </si>
  <si>
    <t xml:space="preserve">Charts</t>
  </si>
  <si>
    <t xml:space="preserve">Dezmos Digital Marketing - Trivandrum Website Leads</t>
  </si>
  <si>
    <t xml:space="preserve">Niches: solar installation, spice brands, food manufacturers, interior design, furniture shops. Edit only the lime-tinted columns (Lead Status, Next Follow-up, Deal Value, Notes) and log every call in 'Call Log'. Calls Made and Last Call Date fill in automatically.</t>
  </si>
  <si>
    <t xml:space="preserve">Lead ID</t>
  </si>
  <si>
    <t xml:space="preserve">Business Name</t>
  </si>
  <si>
    <t xml:space="preserve">Owner / Decision Maker</t>
  </si>
  <si>
    <t xml:space="preserve">Area</t>
  </si>
  <si>
    <t xml:space="preserve">Address</t>
  </si>
  <si>
    <t xml:space="preserve">Primary Phone</t>
  </si>
  <si>
    <t xml:space="preserve">Phone Type</t>
  </si>
  <si>
    <t xml:space="preserve">WhatsApp</t>
  </si>
  <si>
    <t xml:space="preserve">Alt / Office Phone</t>
  </si>
  <si>
    <t xml:space="preserve">Email</t>
  </si>
  <si>
    <t xml:space="preserve">Website</t>
  </si>
  <si>
    <t xml:space="preserve">Website Status</t>
  </si>
  <si>
    <t xml:space="preserve">Rating</t>
  </si>
  <si>
    <t xml:space="preserve">Lead Source</t>
  </si>
  <si>
    <t xml:space="preserve">Source URL</t>
  </si>
  <si>
    <t xml:space="preserve">Main Pitch</t>
  </si>
  <si>
    <t xml:space="preserve">Priority</t>
  </si>
  <si>
    <t xml:space="preserve">Last Call Date</t>
  </si>
  <si>
    <t xml:space="preserve">Next Follow-up</t>
  </si>
  <si>
    <t xml:space="preserve">Deal Value (Rs)</t>
  </si>
  <si>
    <t xml:space="preserve">Notes</t>
  </si>
  <si>
    <t xml:space="preserve">TVM-001</t>
  </si>
  <si>
    <t xml:space="preserve">Aadithya Innovations Solar</t>
  </si>
  <si>
    <t xml:space="preserve">Not listed - ask on call / MCA</t>
  </si>
  <si>
    <t xml:space="preserve">Pappanamcode</t>
  </si>
  <si>
    <t xml:space="preserve">TC 56/60, 10, SRK Building, Pappanamcode, TVM 695018</t>
  </si>
  <si>
    <t xml:space="preserve">08490040914</t>
  </si>
  <si>
    <t xml:space="preserve">Justdial virtual no. (routes to owner)</t>
  </si>
  <si>
    <t xml:space="preserve">Use Justdial chat; ask for WhatsApp no.</t>
  </si>
  <si>
    <t xml:space="preserve">-</t>
  </si>
  <si>
    <t xml:space="preserve">aadithyainnovations.com</t>
  </si>
  <si>
    <t xml:space="preserve">Has website - audit conversions</t>
  </si>
  <si>
    <t xml:space="preserve">4.9 (129) Justdial</t>
  </si>
  <si>
    <t xml:space="preserve">Justdial + ENF Solar</t>
  </si>
  <si>
    <t xml:space="preserve">https://www.justdial.com/Thiruvananthapuram/Residential-Solar-Panel-Installation-Services/nct-12154454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</si>
  <si>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Strong 4.9 rating with 129 reviews - showcase it on the site to convert visitors.</t>
  </si>
  <si>
    <t xml:space="preserve">Warm</t>
  </si>
  <si>
    <t xml:space="preserve">TVM-002</t>
  </si>
  <si>
    <t xml:space="preserve">Anand Solar (TATA Power Solar Distributor)</t>
  </si>
  <si>
    <t xml:space="preserve">Peyad</t>
  </si>
  <si>
    <t xml:space="preserve">Peyad, Thiruvananthapuram</t>
  </si>
  <si>
    <t xml:space="preserve">08128463201</t>
  </si>
  <si>
    <t xml:space="preserve">No website found</t>
  </si>
  <si>
    <t xml:space="preserve">4.9 Justdial</t>
  </si>
  <si>
    <t xml:space="preserve">Justdial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</si>
  <si>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 Hook: TATA Power brand authority but no own website - competitors outrank them on Google.</t>
  </si>
  <si>
    <t xml:space="preserve">TVM-003</t>
  </si>
  <si>
    <t xml:space="preserve">Micro Smart Technologies</t>
  </si>
  <si>
    <t xml:space="preserve">08460307105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</si>
  <si>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</t>
  </si>
  <si>
    <t xml:space="preserve">TVM-004</t>
  </si>
  <si>
    <t xml:space="preserve">Hello Solar Energy Solutions</t>
  </si>
  <si>
    <t xml:space="preserve">Varkala</t>
  </si>
  <si>
    <t xml:space="preserve">Varkala, Thiruvananthapuram district</t>
  </si>
  <si>
    <t xml:space="preserve">08460530606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</si>
  <si>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 Hook: Varkala homestays/resorts are a high-ticket solar segment - landing page for them.</t>
  </si>
  <si>
    <t xml:space="preserve">TVM-005</t>
  </si>
  <si>
    <t xml:space="preserve">V Power Solutions</t>
  </si>
  <si>
    <t xml:space="preserve">Attukal</t>
  </si>
  <si>
    <t xml:space="preserve">Attukal, Thiruvananthapuram</t>
  </si>
  <si>
    <t xml:space="preserve">09972269871</t>
  </si>
  <si>
    <t xml:space="preserve">TVM-006</t>
  </si>
  <si>
    <t xml:space="preserve">Rudraveena Solar &amp; Home Solutions</t>
  </si>
  <si>
    <t xml:space="preserve">Naruvamoodu</t>
  </si>
  <si>
    <t xml:space="preserve">Naruvamoodu, Thiruvananthapuram</t>
  </si>
  <si>
    <t xml:space="preserve">+91 85900 02123</t>
  </si>
  <si>
    <t xml:space="preserve">Direct mobile</t>
  </si>
  <si>
    <t xml:space="preserve">+91 85900 02123 (likely - verify)</t>
  </si>
  <si>
    <t xml:space="preserve">09606167175 (Justdial)</t>
  </si>
  <si>
    <t xml:space="preserve">contact@rudraveenasolutions.com</t>
  </si>
  <si>
    <t xml:space="preserve">rudraveenasolutions.com</t>
  </si>
  <si>
    <t xml:space="preserve">Website + Justdial</t>
  </si>
  <si>
    <t xml:space="preserve">https://www.rudraveenasolutions.com/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</si>
  <si>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Claims KSEB empanelment - make subsidy eligibility the hero of the site.</t>
  </si>
  <si>
    <t xml:space="preserve">TVM-007</t>
  </si>
  <si>
    <t xml:space="preserve">Univarsa Techies Pvt Ltd</t>
  </si>
  <si>
    <t xml:space="preserve">Enjakkal</t>
  </si>
  <si>
    <t xml:space="preserve">Enjakkal, Thiruvananthapuram</t>
  </si>
  <si>
    <t xml:space="preserve">09008359088</t>
  </si>
  <si>
    <t xml:space="preserve">TVM-008</t>
  </si>
  <si>
    <t xml:space="preserve">Light Sky International Pvt Ltd</t>
  </si>
  <si>
    <t xml:space="preserve">Jagathy</t>
  </si>
  <si>
    <t xml:space="preserve">Sree Rudram, Jagathy, TVM 695014</t>
  </si>
  <si>
    <t xml:space="preserve">+91 73562 13562</t>
  </si>
  <si>
    <t xml:space="preserve">+91 73562 13562 (likely - verify)</t>
  </si>
  <si>
    <t xml:space="preserve">08460379701 (Justdial)</t>
  </si>
  <si>
    <t xml:space="preserve">info@lightskyinternational.com</t>
  </si>
  <si>
    <t xml:space="preserve">lightskyinternational.com</t>
  </si>
  <si>
    <t xml:space="preserve">https://lightskyinternational.com/</t>
  </si>
  <si>
    <t xml:space="preserve">Turn the site into a lead engine: subsidy + savings calculator, KSEB/MNRE empanelment proof, installed-project gallery (kW, savings/month), Google reviews and click-to-WhatsApp, with enquiry tracking so you can see cost per lead.</t>
  </si>
  <si>
    <t xml:space="preserve">TVM-009</t>
  </si>
  <si>
    <t xml:space="preserve">Wattsun Energy</t>
  </si>
  <si>
    <t xml:space="preserve">Chackai</t>
  </si>
  <si>
    <t xml:space="preserve">Airport Road, Chackai, Thiruvananthapuram</t>
  </si>
  <si>
    <t xml:space="preserve">+91 93881 06363</t>
  </si>
  <si>
    <t xml:space="preserve">+91 93881 06363 (likely - verify)</t>
  </si>
  <si>
    <t xml:space="preserve">+91 89433 45706</t>
  </si>
  <si>
    <t xml:space="preserve">sourawattsun@gmail.com</t>
  </si>
  <si>
    <t xml:space="preserve">No website (Gmail only)</t>
  </si>
  <si>
    <t xml:space="preserve">KSEB Soura empanelled list</t>
  </si>
  <si>
    <t xml:space="preserve">https://ekiran.kseb.in/documents/2%20and%20upto%203.pdf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</si>
  <si>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 Hook: KSEB Soura empanelled but only a Gmail ID - no website to capture subsidy searches.</t>
  </si>
  <si>
    <t xml:space="preserve">Hot</t>
  </si>
  <si>
    <t xml:space="preserve">TVM-010</t>
  </si>
  <si>
    <t xml:space="preserve">Renergy Systems</t>
  </si>
  <si>
    <t xml:space="preserve">Attingal</t>
  </si>
  <si>
    <t xml:space="preserve">Attingal, Thiruvananthapuram district</t>
  </si>
  <si>
    <t xml:space="preserve">+91 70343 22221</t>
  </si>
  <si>
    <t xml:space="preserve">+91 70343 22221 (likely - verify)</t>
  </si>
  <si>
    <t xml:space="preserve">+91 96453 22221</t>
  </si>
  <si>
    <t xml:space="preserve">soura.renergysales@gmail.com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</si>
  <si>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 Hook: KSEB Soura empanelled but only a Gmail ID - no website.</t>
  </si>
  <si>
    <t xml:space="preserve">TVM-011</t>
  </si>
  <si>
    <t xml:space="preserve">BSS Solar Kerala</t>
  </si>
  <si>
    <t xml:space="preserve">Kowdiar</t>
  </si>
  <si>
    <t xml:space="preserve">Brahmins Colony, Kowdiar PO, TVM 695003</t>
  </si>
  <si>
    <t xml:space="preserve">0471-2439322</t>
  </si>
  <si>
    <t xml:space="preserve">Office landline</t>
  </si>
  <si>
    <t xml:space="preserve">9048001332</t>
  </si>
  <si>
    <t xml:space="preserve">bsssolarkerala@gmail.com</t>
  </si>
  <si>
    <t xml:space="preserve">bsssolar.com</t>
  </si>
  <si>
    <t xml:space="preserve">Company website</t>
  </si>
  <si>
    <t xml:space="preserve">https://bsssolar.com/</t>
  </si>
  <si>
    <t xml:space="preserve">TVM-012</t>
  </si>
  <si>
    <t xml:space="preserve">OnGrid Solar Power Solutions Pvt Ltd</t>
  </si>
  <si>
    <t xml:space="preserve">Vattiyoorkavu</t>
  </si>
  <si>
    <t xml:space="preserve">Vattiyoorkavu, Thiruvananthapuram</t>
  </si>
  <si>
    <t xml:space="preserve">+91 75949 49406</t>
  </si>
  <si>
    <t xml:space="preserve">+91 75949 49406 (likely - verify)</t>
  </si>
  <si>
    <t xml:space="preserve">ongridsolarpowersolution@gmail.com</t>
  </si>
  <si>
    <t xml:space="preserve">ongridsolarpowersolutions.com</t>
  </si>
  <si>
    <t xml:space="preserve">https://www.ongridsolarpowersolutions.com/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</si>
  <si>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Advertises up to Rs 78,000 subsidy - build a subsidy calculator funnel around it.</t>
  </si>
  <si>
    <t xml:space="preserve">TVM-013</t>
  </si>
  <si>
    <t xml:space="preserve">Green Factory</t>
  </si>
  <si>
    <t xml:space="preserve">Fort</t>
  </si>
  <si>
    <t xml:space="preserve">Fort PO, Thiruvananthapuram 695023</t>
  </si>
  <si>
    <t xml:space="preserve">+91 89433 45715</t>
  </si>
  <si>
    <t xml:space="preserve">+91 89433 45715 (likely - verify)</t>
  </si>
  <si>
    <t xml:space="preserve">info@greenfactoryindia.com</t>
  </si>
  <si>
    <t xml:space="preserve">greenfactoryindia.com</t>
  </si>
  <si>
    <t xml:space="preserve">https://greenfactoryindia.com/contact-us</t>
  </si>
  <si>
    <t xml:space="preserve">TVM-014</t>
  </si>
  <si>
    <t xml:space="preserve">SEnSOL Technologies</t>
  </si>
  <si>
    <t xml:space="preserve">Pazhavangadi</t>
  </si>
  <si>
    <t xml:space="preserve">Pazhavangadi, Fort PO, TVM 695023</t>
  </si>
  <si>
    <t xml:space="preserve">+91 94472 22800</t>
  </si>
  <si>
    <t xml:space="preserve">+91 94472 22800 (likely - verify)</t>
  </si>
  <si>
    <t xml:space="preserve">+91 94472 22900</t>
  </si>
  <si>
    <t xml:space="preserve">sensolindia@gmail.com</t>
  </si>
  <si>
    <t xml:space="preserve">sensol.in</t>
  </si>
  <si>
    <t xml:space="preserve">https://sensol.in/contact-us/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</si>
  <si>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20+ years in solar PV - case studies with kW + savings would prove it.</t>
  </si>
  <si>
    <t xml:space="preserve">TVM-015</t>
  </si>
  <si>
    <t xml:space="preserve">VAIGAA Power Solutions</t>
  </si>
  <si>
    <t xml:space="preserve">Vembayam</t>
  </si>
  <si>
    <t xml:space="preserve">Near Indian Oil petrol pump, Vembayam, TVM</t>
  </si>
  <si>
    <t xml:space="preserve">+91 85906 15993</t>
  </si>
  <si>
    <t xml:space="preserve">+91 85906 15993 (likely - verify)</t>
  </si>
  <si>
    <t xml:space="preserve">+91 70128 01008 / +91 73564 00461</t>
  </si>
  <si>
    <t xml:space="preserve">vaigaapowersolutions@gmail.com</t>
  </si>
  <si>
    <t xml:space="preserve">vaigaapowersolutions.in</t>
  </si>
  <si>
    <t xml:space="preserve">https://vaigaapowersolutions.in/</t>
  </si>
  <si>
    <t xml:space="preserve">TVM-016</t>
  </si>
  <si>
    <t xml:space="preserve">Comorin Solar</t>
  </si>
  <si>
    <t xml:space="preserve">Ulloor / Technopark</t>
  </si>
  <si>
    <t xml:space="preserve">Kochulloor Junction, Ulloor / Technopark Phase-3</t>
  </si>
  <si>
    <t xml:space="preserve">+91 96331 59523</t>
  </si>
  <si>
    <t xml:space="preserve">+91 96331 59523 (likely - verify)</t>
  </si>
  <si>
    <t xml:space="preserve">comorinsolar@gmail.com</t>
  </si>
  <si>
    <t xml:space="preserve">comorinsolar.com</t>
  </si>
  <si>
    <t xml:space="preserve">https://www.comorinsolar.com/</t>
  </si>
  <si>
    <t xml:space="preserve">TVM-017</t>
  </si>
  <si>
    <t xml:space="preserve">Chirayil Solar Power Tech</t>
  </si>
  <si>
    <t xml:space="preserve">Nalanchira</t>
  </si>
  <si>
    <t xml:space="preserve">Nalanchira, Thiruvananthapuram 695015</t>
  </si>
  <si>
    <t xml:space="preserve">+91 97788 05529</t>
  </si>
  <si>
    <t xml:space="preserve">+91 97788 05529 (likely - verify)</t>
  </si>
  <si>
    <t xml:space="preserve">chirayilpower@gmail.com</t>
  </si>
  <si>
    <t xml:space="preserve">Web search listing</t>
  </si>
  <si>
    <t xml:space="preserve">https://vguardsolartvm.com/</t>
  </si>
  <si>
    <t xml:space="preserve">No website: launch a PM Surya Ghar / KSEB Soura subsidy landing page with a rooftop savings calculator and a WhatsApp 'Get free site survey' button, so homeowners searching 'solar subsidy Trivandrum' reach you directly instead of Justdial competitors. Hook: Website not confirmed - check before call.</t>
  </si>
  <si>
    <t xml:space="preserve">TVM-018</t>
  </si>
  <si>
    <t xml:space="preserve">Wega Solar (Wegasolar Renewables)</t>
  </si>
  <si>
    <t xml:space="preserve">Sreekariyam</t>
  </si>
  <si>
    <t xml:space="preserve">Sreekariyam, Thiruvananthapuram 695017</t>
  </si>
  <si>
    <t xml:space="preserve">+91 62388 10541</t>
  </si>
  <si>
    <t xml:space="preserve">+91 62388 10541 (likely - verify)</t>
  </si>
  <si>
    <t xml:space="preserve">info@wegasolar.in</t>
  </si>
  <si>
    <t xml:space="preserve">wegasolar.in</t>
  </si>
  <si>
    <t xml:space="preserve">https://www.wegasolar.in/</t>
  </si>
  <si>
    <t xml:space="preserve">TVM-019</t>
  </si>
  <si>
    <t xml:space="preserve">Mitra Power Solutions</t>
  </si>
  <si>
    <t xml:space="preserve">Kumarapuram</t>
  </si>
  <si>
    <t xml:space="preserve">TC 95/324-7, KIMS Road, Kumarapuram, TVM 695011</t>
  </si>
  <si>
    <t xml:space="preserve">Not public - find via website / visit</t>
  </si>
  <si>
    <t xml:space="preserve">mitrapower.in</t>
  </si>
  <si>
    <t xml:space="preserve">ENF Solar directory</t>
  </si>
  <si>
    <t xml:space="preserve">https://www.enfsolar.com/mitra-power-solutions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</si>
  <si>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Phone not public - get it from the website contact page.</t>
  </si>
  <si>
    <t xml:space="preserve">Cold</t>
  </si>
  <si>
    <t xml:space="preserve">TVM-020</t>
  </si>
  <si>
    <t xml:space="preserve">Hive Solar Power Solution</t>
  </si>
  <si>
    <t xml:space="preserve">Vazhuthacaud</t>
  </si>
  <si>
    <t xml:space="preserve">Opp Cotton Hill LP School, Vazhuthacaud, TVM 695014</t>
  </si>
  <si>
    <t xml:space="preserve">hivesolar.com</t>
  </si>
  <si>
    <t xml:space="preserve">ENF Solar + Justdial</t>
  </si>
  <si>
    <t xml:space="preserve">https://www.enfsolar.com/hive-solar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</si>
  <si>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Installing since 2013 - years of projects to turn into case studies.</t>
  </si>
  <si>
    <t xml:space="preserve">TVM-021</t>
  </si>
  <si>
    <t xml:space="preserve">Ray Technologies</t>
  </si>
  <si>
    <t xml:space="preserve">Mannanthala</t>
  </si>
  <si>
    <t xml:space="preserve">Nalanchira, Mannanthala, TVM 695015</t>
  </si>
  <si>
    <t xml:space="preserve">raytechnologiestvm.com</t>
  </si>
  <si>
    <t xml:space="preserve">https://www.enfsolar.com/ray-technologies</t>
  </si>
  <si>
    <t xml:space="preserve">TVM-022</t>
  </si>
  <si>
    <t xml:space="preserve">Premier Projects</t>
  </si>
  <si>
    <t xml:space="preserve">Peroorkada</t>
  </si>
  <si>
    <t xml:space="preserve">Muthassi Towers, Mannamoola, Peroorkada, TVM 695005</t>
  </si>
  <si>
    <t xml:space="preserve">premierprojects.in</t>
  </si>
  <si>
    <t xml:space="preserve">https://www.enfsolar.com/premier-projects</t>
  </si>
  <si>
    <t xml:space="preserve">TVM-023</t>
  </si>
  <si>
    <t xml:space="preserve">Smart Solar Global / Smart Solar Homes</t>
  </si>
  <si>
    <t xml:space="preserve">Thiruvathira, Kottamughal, Nalanchira PO, TVM 695015</t>
  </si>
  <si>
    <t xml:space="preserve">smartsolarglobal.com</t>
  </si>
  <si>
    <t xml:space="preserve">https://www.enfsolar.com/smart-solar-5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</si>
  <si>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1 MWp+ projects - a commercial/industrial landing page fits.</t>
  </si>
  <si>
    <t xml:space="preserve">TVM-024</t>
  </si>
  <si>
    <t xml:space="preserve">Green Sun</t>
  </si>
  <si>
    <t xml:space="preserve">Thiruvallom</t>
  </si>
  <si>
    <t xml:space="preserve">Crescent Hill, Thiruvallom, TVM 695027</t>
  </si>
  <si>
    <t xml:space="preserve">greensun.in</t>
  </si>
  <si>
    <t xml:space="preserve">https://www.enfsolar.com/green-sun-2</t>
  </si>
  <si>
    <t xml:space="preserve">TVM-025</t>
  </si>
  <si>
    <t xml:space="preserve">Enegix Enterprises</t>
  </si>
  <si>
    <t xml:space="preserve">Sasthamangalam</t>
  </si>
  <si>
    <t xml:space="preserve">TC 9-2769, CSM Nagar 286, Edapazhanji, Sasthamangalam, TVM 695010</t>
  </si>
  <si>
    <t xml:space="preserve">enegix.co.in</t>
  </si>
  <si>
    <t xml:space="preserve">https://www.enfsolar.com/enegix-enterprises</t>
  </si>
  <si>
    <t xml:space="preserve">TVM-026</t>
  </si>
  <si>
    <t xml:space="preserve">El Sol Power Solutions Pvt Ltd</t>
  </si>
  <si>
    <t xml:space="preserve">Tinsu Mathew (Managing Director)</t>
  </si>
  <si>
    <t xml:space="preserve">Trivandrum</t>
  </si>
  <si>
    <t xml:space="preserve">Thiruvananthapuram</t>
  </si>
  <si>
    <t xml:space="preserve">elsol.co.in</t>
  </si>
  <si>
    <t xml:space="preserve">https://elsol.co.in/locations/solar-company-in-trivandrum/</t>
  </si>
  <si>
    <t xml:space="preserve">Turn the site into a lead engine: subsidy + savings calculator, KSEB/MNRE empanelment proof, installed-project gallery (kW, savings/month), Google reviews and click-to-WhatsApp, with enquiry tracking so you can see cost per lead. Hook: Named MD - ask for Tinsu directly.</t>
  </si>
  <si>
    <t xml:space="preserve">TVM-027</t>
  </si>
  <si>
    <t xml:space="preserve">Azad Spice Gardens Pvt Ltd</t>
  </si>
  <si>
    <t xml:space="preserve">Ozman Azad (Proprietor, per TradeIndia)</t>
  </si>
  <si>
    <t xml:space="preserve">TC-4/1073-4, Kuravankonam Road, Kowdiar, TVM 695003</t>
  </si>
  <si>
    <t xml:space="preserve">+91 97458 97457</t>
  </si>
  <si>
    <t xml:space="preserve">+91 97458 97457 (likely - verify)</t>
  </si>
  <si>
    <t xml:space="preserve">food@azadazad.com</t>
  </si>
  <si>
    <t xml:space="preserve">azadspicegardens.com</t>
  </si>
  <si>
    <t xml:space="preserve">Company site + TradeIndia</t>
  </si>
  <si>
    <t xml:space="preserve">https://azadazad.com/contact-us/</t>
  </si>
  <si>
    <t xml:space="preserve">Make the site sell: product pages with recipes, online checkout + Amazon/Flipkart links, FSSAI and quality proof, and separate retail / distributor / export enquiry forms. Hook: Heritage brand since 1940 - D2C store + recipe content can sell online, not just in stores.</t>
  </si>
  <si>
    <t xml:space="preserve">TVM-028</t>
  </si>
  <si>
    <t xml:space="preserve">Kuruvi Spice</t>
  </si>
  <si>
    <t xml:space="preserve">Industrial Estate, Pappanamcode, TVM 695019</t>
  </si>
  <si>
    <t xml:space="preserve">+91 80897 48927</t>
  </si>
  <si>
    <t xml:space="preserve">+91 80897 48927 (likely - verify)</t>
  </si>
  <si>
    <t xml:space="preserve">contact@kuruvispice.com</t>
  </si>
  <si>
    <t xml:space="preserve">kuruvispice.com</t>
  </si>
  <si>
    <t xml:space="preserve">https://www.kuruvispice.com/policies/contact-information</t>
  </si>
  <si>
    <t xml:space="preserve">Make the site sell: product pages with recipes, online checkout + Amazon/Flipkart links, FSSAI and quality proof, and separate retail / distributor / export enquiry forms. Hook: Young brand (Kuruvees Spices &amp; Foods, inc. 2025) - growth stage, needs traffic + conversions.</t>
  </si>
  <si>
    <t xml:space="preserve">TVM-029</t>
  </si>
  <si>
    <t xml:space="preserve">Spice Garden Foods (OPC) Pvt Ltd</t>
  </si>
  <si>
    <t xml:space="preserve">G Pillai (CEO); Sajith (Owner contact)</t>
  </si>
  <si>
    <t xml:space="preserve">IndiaMART + Facebook</t>
  </si>
  <si>
    <t xml:space="preserve">https://www.indiamart.com/spicegardenfoods/</t>
  </si>
  <si>
    <t xml:space="preserve">No website: branded D2C store with UPI checkout, WhatsApp ordering and a bulk/distributor enquiry page, so retailers and NRI buyers can find and order without going through IndiaMART. Hook: Only IndiaMART + Facebook page - a branded website builds trust with retailers.</t>
  </si>
  <si>
    <t xml:space="preserve">TVM-030</t>
  </si>
  <si>
    <t xml:space="preserve">Badrinath Enterprises</t>
  </si>
  <si>
    <t xml:space="preserve">Karamana</t>
  </si>
  <si>
    <t xml:space="preserve">TC 20/56 1, CITU Road, Melarannoor, Karamana PO, TVM 695002</t>
  </si>
  <si>
    <t xml:space="preserve">IndiaMART</t>
  </si>
  <si>
    <t xml:space="preserve">https://www.indiamart.com/badrinath-enterprises-thiruvananthapuram/spice-powder.html</t>
  </si>
  <si>
    <t xml:space="preserve">No website: branded D2C store with UPI checkout, WhatsApp ordering and a bulk/distributor enquiry page, so retailers and NRI buyers can find and order without going through IndiaMART. Hook: Sambar/chilli/turmeric powders - catalogue site + WhatsApp ordering.</t>
  </si>
  <si>
    <t xml:space="preserve">TVM-031</t>
  </si>
  <si>
    <t xml:space="preserve">North Malabar Spices Company</t>
  </si>
  <si>
    <t xml:space="preserve">Thumba</t>
  </si>
  <si>
    <t xml:space="preserve">299/13, Near Kinfra, Thumba, TVM 695586</t>
  </si>
  <si>
    <t xml:space="preserve">+91 98957 40107</t>
  </si>
  <si>
    <t xml:space="preserve">+91 98957 40107 (likely - verify)</t>
  </si>
  <si>
    <t xml:space="preserve">Spice Exporters Directory</t>
  </si>
  <si>
    <t xml:space="preserve">https://spiceexportersdirectory.com/company/north-malabar-spices-company-thiruvananthapuram-wayanad-kerala-india/</t>
  </si>
  <si>
    <t xml:space="preserve">No website: branded D2C store with UPI checkout, WhatsApp ordering and a bulk/distributor enquiry page, so retailers and NRI buyers can find and order without going through IndiaMART. Hook: Makes blended masalas - export catalogue site.</t>
  </si>
  <si>
    <t xml:space="preserve">TVM-032</t>
  </si>
  <si>
    <t xml:space="preserve">Kadaas</t>
  </si>
  <si>
    <t xml:space="preserve">https://m.indiamart.com/kadaas/</t>
  </si>
  <si>
    <t xml:space="preserve">No website: branded D2C store with UPI checkout, WhatsApp ordering and a bulk/distributor enquiry page, so retailers and NRI buyers can find and order without going through IndiaMART.</t>
  </si>
  <si>
    <t xml:space="preserve">TVM-033</t>
  </si>
  <si>
    <t xml:space="preserve">Henson Industries</t>
  </si>
  <si>
    <t xml:space="preserve">https://m.indiamart.com/henson-industries</t>
  </si>
  <si>
    <t xml:space="preserve">TVM-034</t>
  </si>
  <si>
    <t xml:space="preserve">A J Spices</t>
  </si>
  <si>
    <t xml:space="preserve">Neyyattinkara</t>
  </si>
  <si>
    <t xml:space="preserve">Neyyattinkara, Thiruvananthapuram</t>
  </si>
  <si>
    <t xml:space="preserve">https://m.indiamart.com/a-j-spices</t>
  </si>
  <si>
    <t xml:space="preserve">TVM-035</t>
  </si>
  <si>
    <t xml:space="preserve">Bitepep</t>
  </si>
  <si>
    <t xml:space="preserve">GlobalLinker</t>
  </si>
  <si>
    <t xml:space="preserve">https://www.globallinker.com/seller/bitepep</t>
  </si>
  <si>
    <t xml:space="preserve">No website: branded D2C store with UPI checkout, WhatsApp ordering and a bulk/distributor enquiry page, so retailers and NRI buyers can find and order without going through IndiaMART. Hook: Cardamom/bay leaf trader - B2B enquiry site.</t>
  </si>
  <si>
    <t xml:space="preserve">TVM-036</t>
  </si>
  <si>
    <t xml:space="preserve">Wayanadan Spices</t>
  </si>
  <si>
    <t xml:space="preserve">Pattoor</t>
  </si>
  <si>
    <t xml:space="preserve">Pattoor Junction, Thiruvananthapuram</t>
  </si>
  <si>
    <t xml:space="preserve">4.4 (214) Justdial</t>
  </si>
  <si>
    <t xml:space="preserve">https://www.justdial.com/Thiruvananthapuram/Masala-Powder-Manufacturers/nct-10313263</t>
  </si>
  <si>
    <t xml:space="preserve">No website: branded D2C store with UPI checkout, WhatsApp ordering and a bulk/distributor enquiry page, so retailers and NRI buyers can find and order without going through IndiaMART. Hook: 214 reviews but no website - online store would capture repeat buyers.</t>
  </si>
  <si>
    <t xml:space="preserve">TVM-037</t>
  </si>
  <si>
    <t xml:space="preserve">Aishwarya Overseas Exporters</t>
  </si>
  <si>
    <t xml:space="preserve">Karamana, Thiruvananthapuram</t>
  </si>
  <si>
    <t xml:space="preserve">https://dir.indiamart.com/thiruvananthapuram/spices.html</t>
  </si>
  <si>
    <t xml:space="preserve">No website: branded D2C store with UPI checkout, WhatsApp ordering and a bulk/distributor enquiry page, so retailers and NRI buyers can find and order without going through IndiaMART. Hook: Exporter - export-buyer catalogue site.</t>
  </si>
  <si>
    <t xml:space="preserve">TVM-038</t>
  </si>
  <si>
    <t xml:space="preserve">Devi Agencies</t>
  </si>
  <si>
    <t xml:space="preserve">TVM-039</t>
  </si>
  <si>
    <t xml:space="preserve">Nilamels &amp; Kaimals Foods Pvt Ltd</t>
  </si>
  <si>
    <t xml:space="preserve">Menamkulam / Thumba</t>
  </si>
  <si>
    <t xml:space="preserve">Plot A29(a), KINFRA Intl Apparel Park, Menamkulam, TVM</t>
  </si>
  <si>
    <t xml:space="preserve">+91 471 310 2229</t>
  </si>
  <si>
    <t xml:space="preserve">+91 80438 32338 (IndiaMART)</t>
  </si>
  <si>
    <t xml:space="preserve">IndiaMART + Food Companies Directory</t>
  </si>
  <si>
    <t xml:space="preserve">https://foodcompaniesdirectory.com/companies/nilamels-kaimals-foods-trivandrum-kerala-india/</t>
  </si>
  <si>
    <t xml:space="preserve">No website: B2B catalogue site (product specs, MOQ, pack sizes, FSSAI, export readiness) with a distributor enquiry form, to win supermarket/export buyers and cut dependence on paid IndiaMART leads. Hook: Banana/tapioca chips manufacturer with no site - distributor &amp; export catalogue.</t>
  </si>
  <si>
    <t xml:space="preserve">TVM-040</t>
  </si>
  <si>
    <t xml:space="preserve">Mahasreevari Food Industries Pvt Ltd</t>
  </si>
  <si>
    <t xml:space="preserve">Kochuveli</t>
  </si>
  <si>
    <t xml:space="preserve">Plot No 42, Industrial Development Area, Kochuveli, TVM</t>
  </si>
  <si>
    <t xml:space="preserve">+91 80475 47662</t>
  </si>
  <si>
    <t xml:space="preserve">IndiaMART virtual no. (routes to owner)</t>
  </si>
  <si>
    <t xml:space="preserve">Ask on first call</t>
  </si>
  <si>
    <t xml:space="preserve">https://dir.indiamart.com/thiruvananthapuram/banana-chips.html</t>
  </si>
  <si>
    <t xml:space="preserve">No website: B2B catalogue site (product specs, MOQ, pack sizes, FSSAI, export readiness) with a distributor enquiry form, to win supermarket/export buyers and cut dependence on paid IndiaMART leads.</t>
  </si>
  <si>
    <t xml:space="preserve">TVM-041</t>
  </si>
  <si>
    <t xml:space="preserve">Asian Food Products</t>
  </si>
  <si>
    <t xml:space="preserve">Pangappara</t>
  </si>
  <si>
    <t xml:space="preserve">Pangappara, Thiruvananthapuram</t>
  </si>
  <si>
    <t xml:space="preserve">+91 80477 65141</t>
  </si>
  <si>
    <t xml:space="preserve">https://www.indiamart.com/asian-food-products/</t>
  </si>
  <si>
    <t xml:space="preserve">No website: B2B catalogue site (product specs, MOQ, pack sizes, FSSAI, export readiness) with a distributor enquiry form, to win supermarket/export buyers and cut dependence on paid IndiaMART leads. Hook: 14 years on IndiaMART - own site cuts dependency on paid leads.</t>
  </si>
  <si>
    <t xml:space="preserve">TVM-042</t>
  </si>
  <si>
    <t xml:space="preserve">Thankus Food Products</t>
  </si>
  <si>
    <t xml:space="preserve">Pappanamcode, Thiruvananthapuram</t>
  </si>
  <si>
    <t xml:space="preserve">+91 80438 64029</t>
  </si>
  <si>
    <t xml:space="preserve">No website: B2B catalogue site (product specs, MOQ, pack sizes, FSSAI, export readiness) with a distributor enquiry form, to win supermarket/export buyers and cut dependence on paid IndiaMART leads. Hook: GST-verified, 9 yrs on IndiaMART.</t>
  </si>
  <si>
    <t xml:space="preserve">TVM-043</t>
  </si>
  <si>
    <t xml:space="preserve">T' Nacks Food Company</t>
  </si>
  <si>
    <t xml:space="preserve">Maruthathoor, Tavaravila, Neyyattinkara</t>
  </si>
  <si>
    <t xml:space="preserve">+91 80410 14452</t>
  </si>
  <si>
    <t xml:space="preserve">No website: B2B catalogue site (product specs, MOQ, pack sizes, FSSAI, export readiness) with a distributor enquiry form, to win supermarket/export buyers and cut dependence on paid IndiaMART leads. Hook: Jackfruit chips - strong D2C/export story.</t>
  </si>
  <si>
    <t xml:space="preserve">TVM-044</t>
  </si>
  <si>
    <t xml:space="preserve">SK Chips</t>
  </si>
  <si>
    <t xml:space="preserve">Parassala</t>
  </si>
  <si>
    <t xml:space="preserve">Parassala, Thiruvananthapuram</t>
  </si>
  <si>
    <t xml:space="preserve">+91 73565 51707</t>
  </si>
  <si>
    <t xml:space="preserve">+91 73565 51707 (likely - verify)</t>
  </si>
  <si>
    <t xml:space="preserve">skchips.in</t>
  </si>
  <si>
    <t xml:space="preserve">https://www.skchips.in/</t>
  </si>
  <si>
    <t xml:space="preserve">Upgrade to a distributor-lead funnel: downloadable catalogue, enquiry form with MOQ/location, retailer locator, export page and WhatsApp CTA; track enquiries per month. Hook: Started 2024 - needs distributor enquiries fast.</t>
  </si>
  <si>
    <t xml:space="preserve">TVM-045</t>
  </si>
  <si>
    <t xml:space="preserve">Dr Food Nutri Industries</t>
  </si>
  <si>
    <t xml:space="preserve">Kochuveli, Thiruvananthapuram</t>
  </si>
  <si>
    <t xml:space="preserve">+91 98953 04259</t>
  </si>
  <si>
    <t xml:space="preserve">+91 98953 04259 (likely - verify)</t>
  </si>
  <si>
    <t xml:space="preserve">+91 70344 85000</t>
  </si>
  <si>
    <t xml:space="preserve">drfoodnutri@gmail.com</t>
  </si>
  <si>
    <t xml:space="preserve">drfoodnutri.com</t>
  </si>
  <si>
    <t xml:space="preserve">https://www.drfoodnutri.com/</t>
  </si>
  <si>
    <t xml:space="preserve">Upgrade to a distributor-lead funnel: downloadable catalogue, enquiry form with MOQ/location, retailer locator, export page and WhatsApp CTA; track enquiries per month. Hook: Site looks ~4 years old - refresh pitch.</t>
  </si>
  <si>
    <t xml:space="preserve">TVM-046</t>
  </si>
  <si>
    <t xml:space="preserve">Tims Food Products</t>
  </si>
  <si>
    <t xml:space="preserve">https://dir.indiamart.com/thiruvananthapuram/snack-foods.html</t>
  </si>
  <si>
    <t xml:space="preserve">No website: B2B catalogue site (product specs, MOQ, pack sizes, FSSAI, export readiness) with a distributor enquiry form, to win supermarket/export buyers and cut dependence on paid IndiaMART leads. Hook: 13 yrs on IndiaMART.</t>
  </si>
  <si>
    <t xml:space="preserve">TVM-047</t>
  </si>
  <si>
    <t xml:space="preserve">Jyothys Snacks</t>
  </si>
  <si>
    <t xml:space="preserve">https://www.indiamart.com/jyothys-snacks/snack-foods.html</t>
  </si>
  <si>
    <t xml:space="preserve">No website: B2B catalogue site (product specs, MOQ, pack sizes, FSSAI, export readiness) with a distributor enquiry form, to win supermarket/export buyers and cut dependence on paid IndiaMART leads. Hook: Pickles + unniyappam - NRI/gifting online store angle.</t>
  </si>
  <si>
    <t xml:space="preserve">TVM-048</t>
  </si>
  <si>
    <t xml:space="preserve">Bestree Foods</t>
  </si>
  <si>
    <t xml:space="preserve">Kadakkavoor</t>
  </si>
  <si>
    <t xml:space="preserve">Kadakkavoor, Thiruvananthapuram</t>
  </si>
  <si>
    <t xml:space="preserve">ExportersIndia</t>
  </si>
  <si>
    <t xml:space="preserve">https://www.exportersindia.com/kerala/rice-flour.htm</t>
  </si>
  <si>
    <t xml:space="preserve">No website: B2B catalogue site (product specs, MOQ, pack sizes, FSSAI, export readiness) with a distributor enquiry form, to win supermarket/export buyers and cut dependence on paid IndiaMART leads. Hook: Rice/idiyappam flour - supermarket &amp; export catalogue.</t>
  </si>
  <si>
    <t xml:space="preserve">TVM-049</t>
  </si>
  <si>
    <t xml:space="preserve">Trivandrum Flour Mills Pvt Ltd</t>
  </si>
  <si>
    <t xml:space="preserve">Dun &amp; Bradstreet</t>
  </si>
  <si>
    <t xml:space="preserve">https://www.dnb.com/business-directory/company-information.food_manufacturing.in.kerala.thiruvananthapuram.html</t>
  </si>
  <si>
    <t xml:space="preserve">TVM-050</t>
  </si>
  <si>
    <t xml:space="preserve">Crunchtopia (OPC) Pvt Ltd</t>
  </si>
  <si>
    <t xml:space="preserve">TVM-051</t>
  </si>
  <si>
    <t xml:space="preserve">Cocoa and Crust Pvt Ltd</t>
  </si>
  <si>
    <t xml:space="preserve">TVM-052</t>
  </si>
  <si>
    <t xml:space="preserve">Bread Factory / Azad Bakers &amp; Confectioners</t>
  </si>
  <si>
    <t xml:space="preserve">https://www.indiamart.com/bread-factory/aboutus.html</t>
  </si>
  <si>
    <t xml:space="preserve">No website: B2B catalogue site (product specs, MOQ, pack sizes, FSSAI, export readiness) with a distributor enquiry form, to win supermarket/export buyers and cut dependence on paid IndiaMART leads. Hook: Same group as Azad Spice - pitch both together.</t>
  </si>
  <si>
    <t xml:space="preserve">TVM-053</t>
  </si>
  <si>
    <t xml:space="preserve">Divine Cakery</t>
  </si>
  <si>
    <t xml:space="preserve">https://dir.indiamart.com/thiruvananthapuram/bakery-products.html</t>
  </si>
  <si>
    <t xml:space="preserve">No website: B2B catalogue site (product specs, MOQ, pack sizes, FSSAI, export readiness) with a distributor enquiry form, to win supermarket/export buyers and cut dependence on paid IndiaMART leads. Hook: Online cake ordering site.</t>
  </si>
  <si>
    <t xml:space="preserve">TVM-054</t>
  </si>
  <si>
    <t xml:space="preserve">Veebakes</t>
  </si>
  <si>
    <t xml:space="preserve">No website: B2B catalogue site (product specs, MOQ, pack sizes, FSSAI, export readiness) with a distributor enquiry form, to win supermarket/export buyers and cut dependence on paid IndiaMART leads. Hook: Online ordering site.</t>
  </si>
  <si>
    <t xml:space="preserve">TVM-055</t>
  </si>
  <si>
    <t xml:space="preserve">Mahendra Food Products</t>
  </si>
  <si>
    <t xml:space="preserve">TVM-056</t>
  </si>
  <si>
    <t xml:space="preserve">Jeevda Foods Pvt Ltd</t>
  </si>
  <si>
    <t xml:space="preserve">TC 44/580, Kochar Road, Jagathy, Thycaud PO, TVM 695014</t>
  </si>
  <si>
    <t xml:space="preserve">InstaFinancials (MCA)</t>
  </si>
  <si>
    <t xml:space="preserve">https://www.InstaFinancials.com/company/jeevda-foods-private-limited/U51900KL2019PTC056744</t>
  </si>
  <si>
    <t xml:space="preserve">TVM-057</t>
  </si>
  <si>
    <t xml:space="preserve">Fresh N Fine Products (India) Pvt Ltd</t>
  </si>
  <si>
    <t xml:space="preserve">Menamkulam</t>
  </si>
  <si>
    <t xml:space="preserve">46/47, KINFRA Apparel Park, Menamkulam, TVM</t>
  </si>
  <si>
    <t xml:space="preserve">Zauba Corp (MCA)</t>
  </si>
  <si>
    <t xml:space="preserve">https://www.zaubacorp.com/company-by-address/PLOT-NO-A39--KINFRA-PARK-MENAMKULAM--MENAMKULAM-P-O-----TRIVANDRUM--KERALA--INDIA---695582</t>
  </si>
  <si>
    <t xml:space="preserve">TVM-058</t>
  </si>
  <si>
    <t xml:space="preserve">Decon Infratech Pvt Ltd</t>
  </si>
  <si>
    <t xml:space="preserve">+91 75580 30104</t>
  </si>
  <si>
    <t xml:space="preserve">+91 75580 30104 (likely - verify)</t>
  </si>
  <si>
    <t xml:space="preserve">Archinect</t>
  </si>
  <si>
    <t xml:space="preserve">https://archinect.com/deconinfratech</t>
  </si>
  <si>
    <t xml:space="preserve">No website: portfolio site with project galleries, a 2BHK/3BHK cost estimator and a 'Book free consultation' form, plus Google reviews, so new homeowners shortlist you before calling competitors. Hook: Architecture + interiors + build - turnkey project landing page.</t>
  </si>
  <si>
    <t xml:space="preserve">TVM-059</t>
  </si>
  <si>
    <t xml:space="preserve">Samson and Sons I Designs</t>
  </si>
  <si>
    <t xml:space="preserve">Muttada</t>
  </si>
  <si>
    <t xml:space="preserve">TC 3/679, Kaliveena Bldg, TKD Rd, Muttada, TVM 695025</t>
  </si>
  <si>
    <t xml:space="preserve">+91 471 393 9343</t>
  </si>
  <si>
    <t xml:space="preserve">in.worldorgs.com</t>
  </si>
  <si>
    <t xml:space="preserve">https://in.worldorgs.com/catalog/thiruvananthapuram/interior-designer/idesigns</t>
  </si>
  <si>
    <t xml:space="preserve">No website: portfolio site with project galleries, a 2BHK/3BHK cost estimator and a 'Book free consultation' form, plus Google reviews, so new homeowners shortlist you before calling competitors.</t>
  </si>
  <si>
    <t xml:space="preserve">TVM-060</t>
  </si>
  <si>
    <t xml:space="preserve">Havitive Architectural Studio (Havitive Infra Pvt Ltd)</t>
  </si>
  <si>
    <t xml:space="preserve">Kulathur / Kazhakoottam</t>
  </si>
  <si>
    <t xml:space="preserve">Kulathur, Kazhakoottam, TVM</t>
  </si>
  <si>
    <t xml:space="preserve">+91 92072 20320</t>
  </si>
  <si>
    <t xml:space="preserve">+91 92072 20320 (likely - verify)</t>
  </si>
  <si>
    <t xml:space="preserve">https://koloapp.in/kerala/flooring-experts/sajeev-s-8--thiruvananthapuram/posts/1628744734</t>
  </si>
  <si>
    <t xml:space="preserve">TVM-061</t>
  </si>
  <si>
    <t xml:space="preserve">Agnikone</t>
  </si>
  <si>
    <t xml:space="preserve">Kowdiar, Thiruvananthapuram</t>
  </si>
  <si>
    <t xml:space="preserve">+91 94474 24499</t>
  </si>
  <si>
    <t xml:space="preserve">+91 94474 24499 (likely - verify)</t>
  </si>
  <si>
    <t xml:space="preserve">GKW Retail directory</t>
  </si>
  <si>
    <t xml:space="preserve">https://interiordesign.gkwretail.com/interior-designers-in-trivandrum/</t>
  </si>
  <si>
    <t xml:space="preserve">No website: portfolio site with project galleries, a 2BHK/3BHK cost estimator and a 'Book free consultation' form, plus Google reviews, so new homeowners shortlist you before calling competitors. Hook: Homes + modular kitchens.</t>
  </si>
  <si>
    <t xml:space="preserve">TVM-062</t>
  </si>
  <si>
    <t xml:space="preserve">Atlas Interiors &amp; Kitchen</t>
  </si>
  <si>
    <t xml:space="preserve">+91 80780 90000</t>
  </si>
  <si>
    <t xml:space="preserve">+91 80780 90000 (likely - verify)</t>
  </si>
  <si>
    <t xml:space="preserve">atlasinteriors.in</t>
  </si>
  <si>
    <t xml:space="preserve">Website + directory</t>
  </si>
  <si>
    <t xml:space="preserve">https://atlasinteriors.in/trivandrum/</t>
  </si>
  <si>
    <t xml:space="preserve">Most interior sites show photos but don't capture leads: add a BHK cost estimator, before/after case studies with budgets, review widget, sticky WhatsApp CTA and a consultation booking calendar.</t>
  </si>
  <si>
    <t xml:space="preserve">TVM-063</t>
  </si>
  <si>
    <t xml:space="preserve">Gazella Interiors</t>
  </si>
  <si>
    <t xml:space="preserve">+91 75599 90009</t>
  </si>
  <si>
    <t xml:space="preserve">+91 75599 90009 (likely - verify)</t>
  </si>
  <si>
    <t xml:space="preserve">info@gazellainteriors.com</t>
  </si>
  <si>
    <t xml:space="preserve">gazellainteriors.com</t>
  </si>
  <si>
    <t xml:space="preserve">https://gazellainteriors.com/</t>
  </si>
  <si>
    <t xml:space="preserve">Most interior sites show photos but don't capture leads: add a BHK cost estimator, before/after case studies with budgets, review widget, sticky WhatsApp CTA and a consultation booking calendar. Hook: Homes, offices, retail, hospitals - separate landing pages per segment.</t>
  </si>
  <si>
    <t xml:space="preserve">TVM-064</t>
  </si>
  <si>
    <t xml:space="preserve">Gruhem Interiors</t>
  </si>
  <si>
    <t xml:space="preserve">Pattom</t>
  </si>
  <si>
    <t xml:space="preserve">Pattom, Thiruvananthapuram</t>
  </si>
  <si>
    <t xml:space="preserve">+91 99953 96790</t>
  </si>
  <si>
    <t xml:space="preserve">+91 99953 96790 (likely - verify)</t>
  </si>
  <si>
    <t xml:space="preserve">TVM-065</t>
  </si>
  <si>
    <t xml:space="preserve">Perfect Interiors</t>
  </si>
  <si>
    <t xml:space="preserve">Opposite Kowdiar Palace, Kowdiar</t>
  </si>
  <si>
    <t xml:space="preserve">3.9 (53) Justdial</t>
  </si>
  <si>
    <t xml:space="preserve">https://www.justdial.com/Thiruvananthapuram/Perfect-Interiors-Opposite-Kowdiar-Palace-Kowdiar/0471PX471-X471-160601164311-E4E8_BZDET</t>
  </si>
  <si>
    <t xml:space="preserve">No website: portfolio site with project galleries, a 2BHK/3BHK cost estimator and a 'Book free consultation' form, plus Google reviews, so new homeowners shortlist you before calling competitors. Hook: Since 2010 - 15 years of projects, no portfolio site.</t>
  </si>
  <si>
    <t xml:space="preserve">TVM-066</t>
  </si>
  <si>
    <t xml:space="preserve">SDH Interiors &amp; Exterior</t>
  </si>
  <si>
    <t xml:space="preserve">08401486376</t>
  </si>
  <si>
    <t xml:space="preserve">https://www.justdial.com/Thiruvananthapuram/Interior-Designers-in-Pattom/nct-10272436</t>
  </si>
  <si>
    <t xml:space="preserve">TVM-067</t>
  </si>
  <si>
    <t xml:space="preserve">Des And Dec Pvt Ltd</t>
  </si>
  <si>
    <t xml:space="preserve">Kochulloor</t>
  </si>
  <si>
    <t xml:space="preserve">Kochulloor, Thiruvananthapuram</t>
  </si>
  <si>
    <t xml:space="preserve">08147128052</t>
  </si>
  <si>
    <t xml:space="preserve">https://www.justdial.com/Thiruvananthapuram/Interior-Designers-in-Kowdiar/nct-10272436</t>
  </si>
  <si>
    <t xml:space="preserve">TVM-068</t>
  </si>
  <si>
    <t xml:space="preserve">Kitchen Gallery</t>
  </si>
  <si>
    <t xml:space="preserve">Panavila</t>
  </si>
  <si>
    <t xml:space="preserve">Panavila Junction, Thiruvananthapuram</t>
  </si>
  <si>
    <t xml:space="preserve">08460495397</t>
  </si>
  <si>
    <t xml:space="preserve">No website: portfolio site with project galleries, a 2BHK/3BHK cost estimator and a 'Book free consultation' form, plus Google reviews, so new homeowners shortlist you before calling competitors. Hook: Modular kitchen - kitchen price estimator page.</t>
  </si>
  <si>
    <t xml:space="preserve">TVM-069</t>
  </si>
  <si>
    <t xml:space="preserve">De Lujan Decors</t>
  </si>
  <si>
    <t xml:space="preserve">Kazhakkoottam</t>
  </si>
  <si>
    <t xml:space="preserve">Kazhakkoottam, Thiruvananthapuram</t>
  </si>
  <si>
    <t xml:space="preserve">08460443680</t>
  </si>
  <si>
    <t xml:space="preserve">https://www.justdial.com/Thiruvananthapuram/Interior-Designers-in-Kazhakuttam/nct-10272436</t>
  </si>
  <si>
    <t xml:space="preserve">No website: portfolio site with project galleries, a 2BHK/3BHK cost estimator and a 'Book free consultation' form, plus Google reviews, so new homeowners shortlist you before calling competitors. Hook: Technopark IT crowd buying flats - target with a 2/3BHK package page.</t>
  </si>
  <si>
    <t xml:space="preserve">TVM-070</t>
  </si>
  <si>
    <t xml:space="preserve">Trendy Touches Interiors</t>
  </si>
  <si>
    <t xml:space="preserve">TVM-071</t>
  </si>
  <si>
    <t xml:space="preserve">Vudpecker Modular Kitchens</t>
  </si>
  <si>
    <t xml:space="preserve">Sreekaryam</t>
  </si>
  <si>
    <t xml:space="preserve">Sreekaryam showroom, Thiruvananthapuram</t>
  </si>
  <si>
    <t xml:space="preserve">+91 95676 35659</t>
  </si>
  <si>
    <t xml:space="preserve">+91 95676 35659 (likely - verify)</t>
  </si>
  <si>
    <t xml:space="preserve">+91 95676 35521</t>
  </si>
  <si>
    <t xml:space="preserve">info@vudpecker.com</t>
  </si>
  <si>
    <t xml:space="preserve">vudpecker.com</t>
  </si>
  <si>
    <t xml:space="preserve">https://www.vudpecker.com/</t>
  </si>
  <si>
    <t xml:space="preserve">TVM-072</t>
  </si>
  <si>
    <t xml:space="preserve">Woodless Interiors</t>
  </si>
  <si>
    <t xml:space="preserve">Thycaud</t>
  </si>
  <si>
    <t xml:space="preserve">Behind Central Residency, Thycaud, TVM</t>
  </si>
  <si>
    <t xml:space="preserve">+91 97462 92910</t>
  </si>
  <si>
    <t xml:space="preserve">+91 97462 92910 (likely - verify)</t>
  </si>
  <si>
    <t xml:space="preserve">projects@woodlessinteriors.com</t>
  </si>
  <si>
    <t xml:space="preserve">woodlessinteriors.com</t>
  </si>
  <si>
    <t xml:space="preserve">https://woodlessinteriors.com/contacts/</t>
  </si>
  <si>
    <t xml:space="preserve">TVM-073</t>
  </si>
  <si>
    <t xml:space="preserve">Gud Interiors</t>
  </si>
  <si>
    <t xml:space="preserve">Nanthancode</t>
  </si>
  <si>
    <t xml:space="preserve">MRA-19, Manchadivila Lane, Nanthancode, TVM</t>
  </si>
  <si>
    <t xml:space="preserve">+91 70343 85555</t>
  </si>
  <si>
    <t xml:space="preserve">+91 70343 85555 (likely - verify)</t>
  </si>
  <si>
    <t xml:space="preserve">info@gudinteriors.com</t>
  </si>
  <si>
    <t xml:space="preserve">gudinteriors.com</t>
  </si>
  <si>
    <t xml:space="preserve">https://gudinteriors.com/</t>
  </si>
  <si>
    <t xml:space="preserve">TVM-074</t>
  </si>
  <si>
    <t xml:space="preserve">Spice Wood Interiors</t>
  </si>
  <si>
    <t xml:space="preserve">Industrial Estate No 25, Near Titanium, Kochuveli, TVM 695021</t>
  </si>
  <si>
    <t xml:space="preserve">+91 94464 43340</t>
  </si>
  <si>
    <t xml:space="preserve">+91 94464 43340 (likely - verify)</t>
  </si>
  <si>
    <t xml:space="preserve">info@spicewood.in</t>
  </si>
  <si>
    <t xml:space="preserve">spicewood.in</t>
  </si>
  <si>
    <t xml:space="preserve">https://www.spicewood.in/</t>
  </si>
  <si>
    <t xml:space="preserve">TVM-075</t>
  </si>
  <si>
    <t xml:space="preserve">Woodshine Interiors</t>
  </si>
  <si>
    <t xml:space="preserve">+91 80860 76666</t>
  </si>
  <si>
    <t xml:space="preserve">+91 80860 76666 (likely - verify)</t>
  </si>
  <si>
    <t xml:space="preserve">woodshineinteriors@gmail.com</t>
  </si>
  <si>
    <t xml:space="preserve">woodshine.in</t>
  </si>
  <si>
    <t xml:space="preserve">https://woodshine.in/contact-us/</t>
  </si>
  <si>
    <t xml:space="preserve">TVM-076</t>
  </si>
  <si>
    <t xml:space="preserve">DR Interio</t>
  </si>
  <si>
    <t xml:space="preserve">Enchakkal</t>
  </si>
  <si>
    <t xml:space="preserve">Near Premiere Park Hotel, Enchakkal, TVM</t>
  </si>
  <si>
    <t xml:space="preserve">+91 87141 13338</t>
  </si>
  <si>
    <t xml:space="preserve">+91 87141 13338 (likely - verify)</t>
  </si>
  <si>
    <t xml:space="preserve">drinterio@gmail.com</t>
  </si>
  <si>
    <t xml:space="preserve">drinterio.com</t>
  </si>
  <si>
    <t xml:space="preserve">https://drinterio.com/</t>
  </si>
  <si>
    <t xml:space="preserve">Most interior sites show photos but don't capture leads: add a BHK cost estimator, before/after case studies with budgets, review widget, sticky WhatsApp CTA and a consultation booking calendar. Hook: Phone differs between page and metadata - confirm.</t>
  </si>
  <si>
    <t xml:space="preserve">TVM-077</t>
  </si>
  <si>
    <t xml:space="preserve">White Paper Interiors</t>
  </si>
  <si>
    <t xml:space="preserve">Poojappura</t>
  </si>
  <si>
    <t xml:space="preserve">Poojappura, Thiruvananthapuram</t>
  </si>
  <si>
    <t xml:space="preserve">+91 95678 62201</t>
  </si>
  <si>
    <t xml:space="preserve">+91 95678 62201 (likely - verify)</t>
  </si>
  <si>
    <t xml:space="preserve">info@whitepaperinteriors.com</t>
  </si>
  <si>
    <t xml:space="preserve">whitepaperinteriors.com</t>
  </si>
  <si>
    <t xml:space="preserve">https://whitepaperinteriors.com/</t>
  </si>
  <si>
    <t xml:space="preserve">TVM-078</t>
  </si>
  <si>
    <t xml:space="preserve">Fortune Interiors</t>
  </si>
  <si>
    <t xml:space="preserve">Sasthamangalam, Thiruvananthapuram</t>
  </si>
  <si>
    <t xml:space="preserve">+91 98470 62040</t>
  </si>
  <si>
    <t xml:space="preserve">+91 98470 62040 (likely - verify)</t>
  </si>
  <si>
    <t xml:space="preserve">fortuneinteriorstvm@gmail.com</t>
  </si>
  <si>
    <t xml:space="preserve">fortunexperience.com</t>
  </si>
  <si>
    <t xml:space="preserve">https://www.fortunexperience.com/services-interior-design-trivandrum/</t>
  </si>
  <si>
    <t xml:space="preserve">TVM-079</t>
  </si>
  <si>
    <t xml:space="preserve">VC Interiors</t>
  </si>
  <si>
    <t xml:space="preserve">NH-66</t>
  </si>
  <si>
    <t xml:space="preserve">NH-66 Road, Thiruvananthapuram</t>
  </si>
  <si>
    <t xml:space="preserve">+91 85906 22076</t>
  </si>
  <si>
    <t xml:space="preserve">+91 85906 22076 (likely - verify)</t>
  </si>
  <si>
    <t xml:space="preserve">vcinteriors.in</t>
  </si>
  <si>
    <t xml:space="preserve">https://vcinteriors.in/</t>
  </si>
  <si>
    <t xml:space="preserve">TVM-080</t>
  </si>
  <si>
    <t xml:space="preserve">BuildArt Interiors</t>
  </si>
  <si>
    <t xml:space="preserve">+91 81290 00120</t>
  </si>
  <si>
    <t xml:space="preserve">+91 81290 00120 (likely - verify)</t>
  </si>
  <si>
    <t xml:space="preserve">info@buildartinterior.com</t>
  </si>
  <si>
    <t xml:space="preserve">business-kerala.com directory</t>
  </si>
  <si>
    <t xml:space="preserve">https://business-kerala.com/directory/listing/interior-designers-trivandrum</t>
  </si>
  <si>
    <t xml:space="preserve">No website: portfolio site with project galleries, a 2BHK/3BHK cost estimator and a 'Book free consultation' form, plus Google reviews, so new homeowners shortlist you before calling competitors. Hook: Website not confirmed - check before call.</t>
  </si>
  <si>
    <t xml:space="preserve">TVM-081</t>
  </si>
  <si>
    <t xml:space="preserve">Liya Furniture World</t>
  </si>
  <si>
    <t xml:space="preserve">08511779243</t>
  </si>
  <si>
    <t xml:space="preserve">4.7 (27) Justdial</t>
  </si>
  <si>
    <t xml:space="preserve">https://www.justdial.com/Thiruvananthapuram/Wooden-Furniture-Dealers/nct-10542688</t>
  </si>
  <si>
    <t xml:space="preserve">No website: online catalogue with price ranges and an 'Enquire on WhatsApp' button per product, showroom map and offers page, so Instagram/Google browsers turn into showroom visits. Hook: New + second-hand furniture - 'sell your furniture' lead form.</t>
  </si>
  <si>
    <t xml:space="preserve">TVM-082</t>
  </si>
  <si>
    <t xml:space="preserve">Movable</t>
  </si>
  <si>
    <t xml:space="preserve">Anayara</t>
  </si>
  <si>
    <t xml:space="preserve">NH Bypass Road, Anayara, TVM</t>
  </si>
  <si>
    <t xml:space="preserve">09606280528</t>
  </si>
  <si>
    <t xml:space="preserve">4.1 (576) Justdial</t>
  </si>
  <si>
    <t xml:space="preserve">No website: online catalogue with price ranges and an 'Enquire on WhatsApp' button per product, showroom map and offers page, so Instagram/Google browsers turn into showroom visits. Hook: 576 reviews - big footfall, no website to capture it online.</t>
  </si>
  <si>
    <t xml:space="preserve">TVM-083</t>
  </si>
  <si>
    <t xml:space="preserve">Dnm Furnishing</t>
  </si>
  <si>
    <t xml:space="preserve">Aryasala</t>
  </si>
  <si>
    <t xml:space="preserve">Aryasala, Thiruvananthapuram</t>
  </si>
  <si>
    <t xml:space="preserve">08401876235</t>
  </si>
  <si>
    <t xml:space="preserve">Justdial (verified)</t>
  </si>
  <si>
    <t xml:space="preserve">No website: online catalogue with price ranges and an 'Enquire on WhatsApp' button per product, showroom map and offers page, so Instagram/Google browsers turn into showroom visits.</t>
  </si>
  <si>
    <t xml:space="preserve">TVM-084</t>
  </si>
  <si>
    <t xml:space="preserve">New Star Agencies</t>
  </si>
  <si>
    <t xml:space="preserve">08123232904</t>
  </si>
  <si>
    <t xml:space="preserve">No website: online catalogue with price ranges and an 'Enquire on WhatsApp' button per product, showroom map and offers page, so Instagram/Google browsers turn into showroom visits. Hook: Also does sofa repair - service booking form.</t>
  </si>
  <si>
    <t xml:space="preserve">TVM-085</t>
  </si>
  <si>
    <t xml:space="preserve">Rajashilpi Furniture &amp; B S Timbers</t>
  </si>
  <si>
    <t xml:space="preserve">Kallara</t>
  </si>
  <si>
    <t xml:space="preserve">Kallara, Thiruvananthapuram district</t>
  </si>
  <si>
    <t xml:space="preserve">09845159549</t>
  </si>
  <si>
    <t xml:space="preserve">No website: online catalogue with price ranges and an 'Enquire on WhatsApp' button per product, showroom map and offers page, so Instagram/Google browsers turn into showroom visits. Hook: Wooden doors - catalogue for builders/contractors.</t>
  </si>
  <si>
    <t xml:space="preserve">TVM-086</t>
  </si>
  <si>
    <t xml:space="preserve">Naz Wood Industries</t>
  </si>
  <si>
    <t xml:space="preserve">Ambalathara</t>
  </si>
  <si>
    <t xml:space="preserve">Thiruvallam, Ambalathara, TVM</t>
  </si>
  <si>
    <t xml:space="preserve">08460281531</t>
  </si>
  <si>
    <t xml:space="preserve">TVM-087</t>
  </si>
  <si>
    <t xml:space="preserve">Antique Home Decor</t>
  </si>
  <si>
    <t xml:space="preserve">TC 17/1411(5), Gangothri Bldgs, near Chattambi Swami Temple, Poojappura</t>
  </si>
  <si>
    <t xml:space="preserve">+91 98460 85350</t>
  </si>
  <si>
    <t xml:space="preserve">+91 98460 85350 (likely - verify)</t>
  </si>
  <si>
    <t xml:space="preserve">yappe.in</t>
  </si>
  <si>
    <t xml:space="preserve">https://yappe.in/kerala/thiruvananthapuram/antique-home-decor/1710171</t>
  </si>
  <si>
    <t xml:space="preserve">No website: online catalogue with price ranges and an 'Enquire on WhatsApp' button per product, showroom map and offers page, so Instagram/Google browsers turn into showroom visits. Hook: Antique furniture sells nationally - online catalogue reaches collectors.</t>
  </si>
  <si>
    <t xml:space="preserve">TVM-088</t>
  </si>
  <si>
    <t xml:space="preserve">Sofas &amp; More by Stanley - Trivandrum</t>
  </si>
  <si>
    <t xml:space="preserve">NH Bypass, Anayara, near Lords Hospital</t>
  </si>
  <si>
    <t xml:space="preserve">+91 95443 56622</t>
  </si>
  <si>
    <t xml:space="preserve">+91 95443 56622 (likely - verify)</t>
  </si>
  <si>
    <t xml:space="preserve">https://yappe.in/kerala/thiruvananthapuram/sofas-more-by-stanley-trivandrum/1710175</t>
  </si>
  <si>
    <t xml:space="preserve">No website: online catalogue with price ranges and an 'Enquire on WhatsApp' button per product, showroom map and offers page, so Instagram/Google browsers turn into showroom visits. Hook: Franchise - pitch local landing page + Google ads, not a full site.</t>
  </si>
  <si>
    <t xml:space="preserve">TVM-089</t>
  </si>
  <si>
    <t xml:space="preserve">Furniture Centre</t>
  </si>
  <si>
    <t xml:space="preserve">Near Karamana Post Office, TVM</t>
  </si>
  <si>
    <t xml:space="preserve">+91 471 234 9967</t>
  </si>
  <si>
    <t xml:space="preserve">https://yappe.in/kerala/thiruvananthapuram/furniture-centre/1710214</t>
  </si>
  <si>
    <t xml:space="preserve">TVM-090</t>
  </si>
  <si>
    <t xml:space="preserve">Thomson Furniture (Thomson Home Depot)</t>
  </si>
  <si>
    <t xml:space="preserve">Kesavadasapuram</t>
  </si>
  <si>
    <t xml:space="preserve">Cordial Emerald, Kesavadasapuram-Ulloor Rd, TVM 695004</t>
  </si>
  <si>
    <t xml:space="preserve">+91 95266 11221</t>
  </si>
  <si>
    <t xml:space="preserve">+91 95266 11221 (likely - verify)</t>
  </si>
  <si>
    <t xml:space="preserve">+91 95266 17733</t>
  </si>
  <si>
    <t xml:space="preserve">thdcare@thomsonmails.com</t>
  </si>
  <si>
    <t xml:space="preserve">thomsonfurniture.in</t>
  </si>
  <si>
    <t xml:space="preserve">692 reviews (site)</t>
  </si>
  <si>
    <t xml:space="preserve">Company website + Quickerala</t>
  </si>
  <si>
    <t xml:space="preserve">https://thomsonfurniture.in/</t>
  </si>
  <si>
    <t xml:space="preserve">Make the catalogue convert: price ranges, WhatsApp enquiry per product, festival-offer landing pages, EMI info and showroom-visit booking, linked to your Google Business profile.</t>
  </si>
  <si>
    <t xml:space="preserve">TVM-091</t>
  </si>
  <si>
    <t xml:space="preserve">Capito Furniture &amp; Home Interiors</t>
  </si>
  <si>
    <t xml:space="preserve">Kaniyapuram</t>
  </si>
  <si>
    <t xml:space="preserve">Kaniyapuram, near Kazhakkoottam</t>
  </si>
  <si>
    <t xml:space="preserve">+91 99471 38000</t>
  </si>
  <si>
    <t xml:space="preserve">+91 99471 38000 (likely - verify)</t>
  </si>
  <si>
    <t xml:space="preserve">Quickerala</t>
  </si>
  <si>
    <t xml:space="preserve">https://www.quickerala.com/trivandrum/furniture-and-fixtures/furniture-shop/sbct-8435-dt-12</t>
  </si>
  <si>
    <t xml:space="preserve">No website: online catalogue with price ranges and an 'Enquire on WhatsApp' button per product, showroom map and offers page, so Instagram/Google browsers turn into showroom visits. Hook: Large showroom - number from older listing, verify.</t>
  </si>
  <si>
    <t xml:space="preserve">TVM-092</t>
  </si>
  <si>
    <t xml:space="preserve">Popular Furniture</t>
  </si>
  <si>
    <t xml:space="preserve">Main Road (NH47), Kazhakkoottam</t>
  </si>
  <si>
    <t xml:space="preserve">0471-2412761</t>
  </si>
  <si>
    <t xml:space="preserve">https://www.quickerala.com/trivandrum/kazhakkoottam/popular-furniture/84412</t>
  </si>
  <si>
    <t xml:space="preserve">No website: online catalogue with price ranges and an 'Enquire on WhatsApp' button per product, showroom map and offers page, so Instagram/Google browsers turn into showroom visits. Hook: Listing ~9 years old - verify.</t>
  </si>
  <si>
    <t xml:space="preserve">TVM-093</t>
  </si>
  <si>
    <t xml:space="preserve">M M Furniture</t>
  </si>
  <si>
    <t xml:space="preserve">Bypass Road, opp Technopark main gate, Kazhakkoottam</t>
  </si>
  <si>
    <t xml:space="preserve">https://www.quickerala.com/trivandrum/kazhakkoottam/m-m-furniture/427686</t>
  </si>
  <si>
    <t xml:space="preserve">No website: online catalogue with price ranges and an 'Enquire on WhatsApp' button per product, showroom map and offers page, so Instagram/Google browsers turn into showroom visits. Hook: Opposite Technopark - target IT employees setting up homes.</t>
  </si>
  <si>
    <t xml:space="preserve">TVM-094</t>
  </si>
  <si>
    <t xml:space="preserve">Royal Agencies</t>
  </si>
  <si>
    <t xml:space="preserve">Balaramapuram</t>
  </si>
  <si>
    <t xml:space="preserve">Balaramapuram, Thiruvananthapuram</t>
  </si>
  <si>
    <t xml:space="preserve">0471-2400660</t>
  </si>
  <si>
    <t xml:space="preserve">No website: online catalogue with price ranges and an 'Enquire on WhatsApp' button per product, showroom map and offers page, so Instagram/Google browsers turn into showroom visits. Hook: One listing says closed - confirm before calling.</t>
  </si>
  <si>
    <t xml:space="preserve">TVM-095</t>
  </si>
  <si>
    <t xml:space="preserve">Diya Furniture</t>
  </si>
  <si>
    <t xml:space="preserve">Pongumoodu</t>
  </si>
  <si>
    <t xml:space="preserve">Pongumoodu, Thiruvananthapuram</t>
  </si>
  <si>
    <t xml:space="preserve">TVM-096</t>
  </si>
  <si>
    <t xml:space="preserve">Sree Raja Furniture</t>
  </si>
  <si>
    <t xml:space="preserve">Nemom</t>
  </si>
  <si>
    <t xml:space="preserve">Nemom, Thiruvananthapuram</t>
  </si>
  <si>
    <t xml:space="preserve">No website: online catalogue with price ranges and an 'Enquire on WhatsApp' button per product, showroom map and offers page, so Instagram/Google browsers turn into showroom visits. Hook: Also carpentry - custom furniture enquiry form.</t>
  </si>
  <si>
    <t xml:space="preserve">TVM-097</t>
  </si>
  <si>
    <t xml:space="preserve">A-One Furniture</t>
  </si>
  <si>
    <t xml:space="preserve">TVM-098</t>
  </si>
  <si>
    <t xml:space="preserve">Chellam Innova Furniture Palace</t>
  </si>
  <si>
    <t xml:space="preserve">TVM-099</t>
  </si>
  <si>
    <t xml:space="preserve">Subash Furniture</t>
  </si>
  <si>
    <t xml:space="preserve">Chalai</t>
  </si>
  <si>
    <t xml:space="preserve">Chalai, Thiruvananthapuram</t>
  </si>
  <si>
    <t xml:space="preserve">TVM-100</t>
  </si>
  <si>
    <t xml:space="preserve">Nilambur Interiors &amp; Furniture</t>
  </si>
  <si>
    <t xml:space="preserve">Nedumangad</t>
  </si>
  <si>
    <t xml:space="preserve">Nedumangad, Thiruvananthapuram district</t>
  </si>
  <si>
    <t xml:space="preserve">No website: online catalogue with price ranges and an 'Enquire on WhatsApp' button per product, showroom map and offers page, so Instagram/Google browsers turn into showroom visits. Hook: Manufacturer - factory-direct pricing site.</t>
  </si>
  <si>
    <t xml:space="preserve">TVM-101</t>
  </si>
  <si>
    <t xml:space="preserve">Ajantha Furniture</t>
  </si>
  <si>
    <t xml:space="preserve">TVM-102</t>
  </si>
  <si>
    <t xml:space="preserve">Evernest Industries</t>
  </si>
  <si>
    <t xml:space="preserve">https://dir.indiamart.com/thiruvananthapuram/wooden-furniture.html</t>
  </si>
  <si>
    <t xml:space="preserve">No website: online catalogue with price ranges and an 'Enquire on WhatsApp' button per product, showroom map and offers page, so Instagram/Google browsers turn into showroom visits. Hook: Manufacturer/wholesaler.</t>
  </si>
  <si>
    <t xml:space="preserve">Call Log - one row per call</t>
  </si>
  <si>
    <t xml:space="preserve">Enter Date, Lead ID (e.g. TVM-001), Outcome and notes. Business and Niche fill in automatically. The grey row 4 is an example and is not counted (its ID does not match any lead).</t>
  </si>
  <si>
    <t xml:space="preserve">Date</t>
  </si>
  <si>
    <t xml:space="preserve">Business (auto)</t>
  </si>
  <si>
    <t xml:space="preserve">Niche (auto)</t>
  </si>
  <si>
    <t xml:space="preserve">Call Outcome</t>
  </si>
  <si>
    <t xml:space="preserve">Spoke With</t>
  </si>
  <si>
    <t xml:space="preserve">Next Step</t>
  </si>
  <si>
    <t xml:space="preserve">Follow-up Date</t>
  </si>
  <si>
    <t xml:space="preserve">EXAMPLE</t>
  </si>
  <si>
    <t xml:space="preserve">Example Solar Pvt Ltd</t>
  </si>
  <si>
    <t xml:space="preserve">Owner (Mr. Name)</t>
  </si>
  <si>
    <t xml:space="preserve">Send WhatsApp portfolio</t>
  </si>
  <si>
    <t xml:space="preserve">Asked to call after 5 pm</t>
  </si>
  <si>
    <t xml:space="preserve">Pitch Playbook - website development</t>
  </si>
  <si>
    <t xml:space="preserve">Core pitch (no website)</t>
  </si>
  <si>
    <t xml:space="preserve">Core pitch (has website, not converting)</t>
  </si>
  <si>
    <t xml:space="preserve">WhatsApp / call opener</t>
  </si>
  <si>
    <t xml:space="preserve">Objection -&gt; answer</t>
  </si>
  <si>
    <t xml:space="preserve">Hi [Name], this is [Your Name] from Dezmos Digital Marketing, Trivandrum. People here search 'solar subsidy Trivandrum' every day. We build solar websites with a subsidy calculator that send enquiries straight to your WhatsApp. Can I show you a 2-minute demo?</t>
  </si>
  <si>
    <t xml:space="preserve">'We get leads from Justdial' -&gt; Justdial shares each lead with 3-5 competitors. Your own site gives you leads nobody else gets.</t>
  </si>
  <si>
    <t xml:space="preserve">Make the site sell: product pages with recipes, online checkout + Amazon/Flipkart links, FSSAI and quality proof, and separate retail / distributor / export enquiry forms.</t>
  </si>
  <si>
    <t xml:space="preserve">Hi [Name], [Your Name] from Dezmos, Trivandrum. Your masalas could sell online to NRI and pan-India buyers. We set up spice brand stores with UPI checkout and WhatsApp ordering. Open to a quick look?</t>
  </si>
  <si>
    <t xml:space="preserve">'Distributors handle sales' -&gt; A site supports distributors with a catalogue, and adds direct online orders with better margins.</t>
  </si>
  <si>
    <t xml:space="preserve">Upgrade to a distributor-lead funnel: downloadable catalogue, enquiry form with MOQ/location, retailer locator, export page and WhatsApp CTA; track enquiries per month.</t>
  </si>
  <si>
    <t xml:space="preserve">Hi [Name], [Your Name] from Dezmos. Supermarket and export buyers check a manufacturer's website before placing orders. We build B2B catalogue sites with distributor enquiry forms. Could I send a sample?</t>
  </si>
  <si>
    <t xml:space="preserve">'IndiaMART is enough' -&gt; IndiaMART leads are paid and shared. A site plus Google listing brings direct buyers at no per-lead cost.</t>
  </si>
  <si>
    <t xml:space="preserve">Hi [Name], [Your Name] from Dezmos, Trivandrum. Homeowners shortlist interior firms online before calling. We build portfolio sites with a BHK cost estimator that books consultations for you. Can I show you one?</t>
  </si>
  <si>
    <t xml:space="preserve">'Instagram is enough' -&gt; Instagram shows work; a site with an estimator and booking form captures the enquiry and ranks on Google.</t>
  </si>
  <si>
    <t xml:space="preserve">Hi [Name], [Your Name] from Dezmos. Buyers browse furniture online before visiting a showroom. We build catalogue sites with a WhatsApp enquiry button on every product. Can I share an example?</t>
  </si>
  <si>
    <t xml:space="preserve">'Customers walk in anyway' -&gt; Most buyers check online first. A catalogue sends them to your showroom instead of the chain stores.</t>
  </si>
  <si>
    <t xml:space="preserve">Website audit checklist (before pitching a 'has website' lead)</t>
  </si>
  <si>
    <t xml:space="preserve">1.</t>
  </si>
  <si>
    <t xml:space="preserve">Opens fast on mobile (under 3 seconds)?</t>
  </si>
  <si>
    <t xml:space="preserve">2.</t>
  </si>
  <si>
    <t xml:space="preserve">Click-to-call and WhatsApp button visible on every page?</t>
  </si>
  <si>
    <t xml:space="preserve">3.</t>
  </si>
  <si>
    <t xml:space="preserve">Enquiry form above the fold, short (3-4 fields)?</t>
  </si>
  <si>
    <t xml:space="preserve">4.</t>
  </si>
  <si>
    <t xml:space="preserve">Proof shown: reviews, certifications, project photos with numbers?</t>
  </si>
  <si>
    <t xml:space="preserve">5.</t>
  </si>
  <si>
    <t xml:space="preserve">Google Business profile linked and consistent (name, phone, address)?</t>
  </si>
  <si>
    <t xml:space="preserve">6.</t>
  </si>
  <si>
    <t xml:space="preserve">Ranks for '[service] Trivandrum' on Google?</t>
  </si>
  <si>
    <t xml:space="preserve">7.</t>
  </si>
  <si>
    <t xml:space="preserve">SSL (https) and up-to-date content (no old offers / dead links)?</t>
  </si>
  <si>
    <t xml:space="preserve">8.</t>
  </si>
  <si>
    <t xml:space="preserve">Any enquiry tracking (Analytics, form notifications)?</t>
  </si>
  <si>
    <t xml:space="preserve">Compliance note: these are publicly listed business contacts. Call in business hours, honour 'do not contact' requests, and avoid bulk unsolicited WhatsApp messages (TRAI / WhatsApp Business policy).</t>
  </si>
  <si>
    <t xml:space="preserve">How these leads were collected</t>
  </si>
  <si>
    <t xml:space="preserve">Researched on 20 Oct 2026 from public business listings: Justdial, IndiaMART, TradeIndia, ExportersIndia, ENF Solar, KSEB Soura empanelled list, Quickerala, yappe.in, Dun &amp; Bradstreet, MCA-based registries and company websites.</t>
  </si>
  <si>
    <t xml:space="preserve">Google Maps (GMB) scraping was not possible from the research environment (Google was blocked by the network policy), so GMB-only businesses are not in this list yet.</t>
  </si>
  <si>
    <t xml:space="preserve">Owner names are rarely public. Where none was found, the column says 'Not listed - ask on call / MCA'. Check directors on the MCA portal (mca.gov.in) for Pvt Ltd companies.</t>
  </si>
  <si>
    <t xml:space="preserve">Justdial (08xxx / 09xxx 11-digit) and IndiaMART (+91 80xxx) numbers are virtual numbers that forward to the business. Ask for the direct mobile and WhatsApp on the first call.</t>
  </si>
  <si>
    <t xml:space="preserve">Directory data goes stale. Verify each number before relying on it; some listings are several years old (noted in the Pitch hook / Notes).</t>
  </si>
  <si>
    <t xml:space="preserve">National chains (Pepperfry, Wakefit, Royaloak, Damro, Livspace, D'LIFE) were left out on purpose: they have corporate websites and central marketing teams.</t>
  </si>
  <si>
    <t xml:space="preserve">Priority logic</t>
  </si>
  <si>
    <t xml:space="preserve">Hot = no website found + direct mobile or landline.  Warm = has contact details (website already, or reachable only via virtual number).  Cold = no public phone/email yet.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</si>
</sst>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#,##0;\(#,##0\);\-"/>
    <numFmt numFmtId="168" formatCode="General"/>
    <numFmt numFmtId="169" formatCode="dd\-mmm\-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2E"/>
      <name val="Manrope"/>
      <family val="0"/>
      <charset val="1"/>
    </font>
    <font>
      <sz val="10"/>
      <color rgb="FF5A6366"/>
      <name val="Manrope"/>
      <family val="0"/>
      <charset val="1"/>
    </font>
    <font>
      <b val="true"/>
      <sz val="9"/>
      <color rgb="FF5A6366"/>
      <name val="Manrope"/>
      <family val="0"/>
      <charset val="1"/>
    </font>
    <font>
      <b val="true"/>
      <sz val="22"/>
      <color rgb="FF1F2A2E"/>
      <name val="Manrope"/>
      <family val="0"/>
      <charset val="1"/>
    </font>
    <font>
      <b val="true"/>
      <sz val="10"/>
      <color rgb="FF1F2A2E"/>
      <name val="Manrope"/>
      <family val="0"/>
      <charset val="1"/>
    </font>
    <font>
      <b val="true"/>
      <sz val="10"/>
      <color rgb="FFFFFFFF"/>
      <name val="Manrope"/>
      <family val="0"/>
      <charset val="1"/>
    </font>
    <font>
      <sz val="10"/>
      <color rgb="FF1F2A2E"/>
      <name val="Manrope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u val="single"/>
      <sz val="10"/>
      <color rgb="FF1F2A2E"/>
      <name val="Manrope"/>
      <family val="0"/>
      <charset val="1"/>
    </font>
    <font>
      <sz val="10"/>
      <name val="Arial"/>
      <family val="2"/>
    </font>
    <font>
      <i val="true"/>
      <sz val="10"/>
      <color rgb="FF8A9294"/>
      <name val="Manrop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8FA"/>
        <bgColor rgb="FFFFFFFF"/>
      </patternFill>
    </fill>
    <fill>
      <patternFill patternType="solid">
        <fgColor rgb="FFC1FF72"/>
        <bgColor rgb="FFE2FFC0"/>
      </patternFill>
    </fill>
    <fill>
      <patternFill patternType="solid">
        <fgColor rgb="FF1F2A2E"/>
        <bgColor rgb="FF333300"/>
      </patternFill>
    </fill>
    <fill>
      <patternFill patternType="solid">
        <fgColor rgb="FFF3FFE3"/>
        <bgColor rgb="FFF4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E"/>
      </left>
      <right style="thin">
        <color rgb="FFD9DDDE"/>
      </right>
      <top style="thin">
        <color rgb="FFD9DDDE"/>
      </top>
      <bottom style="thin">
        <color rgb="FFD9DD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2E"/>
          <bgColor rgb="FF000000"/>
        </patternFill>
      </fill>
    </dxf>
    <dxf>
      <fill>
        <patternFill patternType="solid">
          <fgColor rgb="FFF4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FE3"/>
          <bgColor rgb="FF000000"/>
        </patternFill>
      </fill>
    </dxf>
    <dxf>
      <fill>
        <patternFill patternType="solid">
          <fgColor rgb="FFC1FF72"/>
          <bgColor rgb="FF000000"/>
        </patternFill>
      </fill>
    </dxf>
    <dxf>
      <font>
        <name val="Manrope"/>
        <charset val="1"/>
        <family val="0"/>
        <b val="1"/>
        <color rgb="FF1F2A2E"/>
      </font>
      <fill>
        <patternFill>
          <bgColor rgb="FFC1FF72"/>
        </patternFill>
      </fill>
    </dxf>
    <dxf>
      <font>
        <name val="Manrope"/>
        <charset val="1"/>
        <family val="0"/>
        <b val="1"/>
        <color rgb="FF1F2A2E"/>
      </font>
      <fill>
        <patternFill>
          <bgColor rgb="FFF3FF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D1"/>
      <rgbColor rgb="FF878787"/>
      <rgbColor rgb="FF8FA0A4"/>
      <rgbColor rgb="FF993366"/>
      <rgbColor rgb="FFF3FFE3"/>
      <rgbColor rgb="FFF4F8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DDE"/>
      <rgbColor rgb="FFE2FFC0"/>
      <rgbColor rgb="FFC1FF72"/>
      <rgbColor rgb="FF99CCFF"/>
      <rgbColor rgb="FFFF99CC"/>
      <rgbColor rgb="FFCC99FF"/>
      <rgbColor rgb="FFFFCC99"/>
      <rgbColor rgb="FF4F81BD"/>
      <rgbColor rgb="FF33CCCC"/>
      <rgbColor rgb="FFA9D96B"/>
      <rgbColor rgb="FFFFCC00"/>
      <rgbColor rgb="FFFF9900"/>
      <rgbColor rgb="FFFF6600"/>
      <rgbColor rgb="FF5A6366"/>
      <rgbColor rgb="FF8A9294"/>
      <rgbColor rgb="FF003366"/>
      <rgbColor rgb="FF6E7B7F"/>
      <rgbColor rgb="FF003300"/>
      <rgbColor rgb="FF333300"/>
      <rgbColor rgb="FF993300"/>
      <rgbColor rgb="FF993366"/>
      <rgbColor rgb="FF3F5258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Call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a2e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1ff72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e7b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9d96b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c9cfd1"/>
              </a:solidFill>
              <a:ln w="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3f5258"/>
              </a:solidFill>
              <a:ln w="0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e2ffc0"/>
              </a:solidFill>
              <a:ln w="0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8fa0a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Dashboard!$H$10:$H$17</c:f>
              <c:strCache>
                <c:ptCount val="8"/>
                <c:pt idx="0">
                  <c:v>No Answer</c:v>
                </c:pt>
                <c:pt idx="1">
                  <c:v>Call Back Later</c:v>
                </c:pt>
                <c:pt idx="2">
                  <c:v>Interested</c:v>
                </c:pt>
                <c:pt idx="3">
                  <c:v>Meeting Booked</c:v>
                </c:pt>
                <c:pt idx="4">
                  <c:v>Proposal Sent</c:v>
                </c:pt>
                <c:pt idx="5">
                  <c:v>Converted</c:v>
                </c:pt>
                <c:pt idx="6">
                  <c:v>Not Interested</c:v>
                </c:pt>
                <c:pt idx="7">
                  <c:v>Wrong / Invalid Number</c:v>
                </c:pt>
              </c:strCache>
            </c:strRef>
          </c:cat>
          <c:val>
            <c:numRef>
              <c:f>Dashboard!$I$10:$I$17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Converted vs Not Converted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1ff72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f2a2e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9cfd1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Dashboard!$K$10:$K$12</c:f>
              <c:strCache>
                <c:ptCount val="3"/>
                <c:pt idx="0">
                  <c:v>Converted</c:v>
                </c:pt>
                <c:pt idx="1">
                  <c:v>Not converted yet</c:v>
                </c:pt>
                <c:pt idx="2">
                  <c:v>Not contacted</c:v>
                </c:pt>
              </c:strCache>
            </c:strRef>
          </c:cat>
          <c:val>
            <c:numRef>
              <c:f>Dashboard!$L$10:$L$12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Niche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a2e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1ff72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e7b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9d96b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c9cfd1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Dashboard!$A$10:$A$14</c:f>
              <c:strCache>
                <c:ptCount val="5"/>
                <c:pt idx="0">
                  <c:v>Solar Installation</c:v>
                </c:pt>
                <c:pt idx="1">
                  <c:v>Spice Brand</c:v>
                </c:pt>
                <c:pt idx="2">
                  <c:v>Food Manufacturer</c:v>
                </c:pt>
                <c:pt idx="3">
                  <c:v>Interior Design</c:v>
                </c:pt>
                <c:pt idx="4">
                  <c:v>Furniture Shop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26</c:v>
                </c:pt>
                <c:pt idx="1">
                  <c:v>12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Calls vs Conversions by Niche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Calls Made</c:v>
                </c:pt>
              </c:strCache>
            </c:strRef>
          </c:tx>
          <c:spPr>
            <a:solidFill>
              <a:srgbClr val="1f2a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Solar Installation</c:v>
                </c:pt>
                <c:pt idx="1">
                  <c:v>Spice Brand</c:v>
                </c:pt>
                <c:pt idx="2">
                  <c:v>Food Manufacturer</c:v>
                </c:pt>
                <c:pt idx="3">
                  <c:v>Interior Design</c:v>
                </c:pt>
                <c:pt idx="4">
                  <c:v>Furniture Shop</c:v>
                </c:pt>
              </c:strCache>
            </c:strRef>
          </c:cat>
          <c:val>
            <c:numRef>
              <c:f>Dashboard!$C$10:$C$14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Dashboard!E9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rgbClr val="c1ff7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Solar Installation</c:v>
                </c:pt>
                <c:pt idx="1">
                  <c:v>Spice Brand</c:v>
                </c:pt>
                <c:pt idx="2">
                  <c:v>Food Manufacturer</c:v>
                </c:pt>
                <c:pt idx="3">
                  <c:v>Interior Design</c:v>
                </c:pt>
                <c:pt idx="4">
                  <c:v>Furniture Shop</c:v>
                </c:pt>
              </c:strCache>
            </c:strRef>
          </c:cat>
          <c:val>
            <c:numRef>
              <c:f>Dashboard!$E$10:$E$14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9525961"/>
        <c:axId val="21828190"/>
      </c:barChart>
      <c:catAx>
        <c:axId val="89525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28190"/>
        <c:crosses val="autoZero"/>
        <c:auto val="1"/>
        <c:lblAlgn val="ctr"/>
        <c:lblOffset val="100"/>
        <c:noMultiLvlLbl val="0"/>
      </c:catAx>
      <c:valAx>
        <c:axId val="21828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259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178920</xdr:rowOff>
    </xdr:from>
    <xdr:to>
      <xdr:col>3</xdr:col>
      <xdr:colOff>654480</xdr:colOff>
      <xdr:row>39</xdr:row>
      <xdr:rowOff>190440</xdr:rowOff>
    </xdr:to>
    <xdr:graphicFrame>
      <xdr:nvGraphicFramePr>
        <xdr:cNvPr id="0" name="Chart 1"/>
        <xdr:cNvGraphicFramePr/>
      </xdr:nvGraphicFramePr>
      <xdr:xfrm>
        <a:off x="0" y="50767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178920</xdr:rowOff>
    </xdr:from>
    <xdr:to>
      <xdr:col>10</xdr:col>
      <xdr:colOff>231480</xdr:colOff>
      <xdr:row>39</xdr:row>
      <xdr:rowOff>190440</xdr:rowOff>
    </xdr:to>
    <xdr:graphicFrame>
      <xdr:nvGraphicFramePr>
        <xdr:cNvPr id="1" name="Chart 2"/>
        <xdr:cNvGraphicFramePr/>
      </xdr:nvGraphicFramePr>
      <xdr:xfrm>
        <a:off x="5638680" y="50767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178920</xdr:rowOff>
    </xdr:from>
    <xdr:to>
      <xdr:col>3</xdr:col>
      <xdr:colOff>654480</xdr:colOff>
      <xdr:row>57</xdr:row>
      <xdr:rowOff>190440</xdr:rowOff>
    </xdr:to>
    <xdr:graphicFrame>
      <xdr:nvGraphicFramePr>
        <xdr:cNvPr id="2" name="Chart 3"/>
        <xdr:cNvGraphicFramePr/>
      </xdr:nvGraphicFramePr>
      <xdr:xfrm>
        <a:off x="0" y="85057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41</xdr:row>
      <xdr:rowOff>178920</xdr:rowOff>
    </xdr:from>
    <xdr:to>
      <xdr:col>10</xdr:col>
      <xdr:colOff>231480</xdr:colOff>
      <xdr:row>57</xdr:row>
      <xdr:rowOff>190440</xdr:rowOff>
    </xdr:to>
    <xdr:graphicFrame>
      <xdr:nvGraphicFramePr>
        <xdr:cNvPr id="3" name="Chart 4"/>
        <xdr:cNvGraphicFramePr/>
      </xdr:nvGraphicFramePr>
      <xdr:xfrm>
        <a:off x="5638680" y="85057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aadithyainnovations.com/" TargetMode="External"/><Relationship Id="rId3" Type="http://schemas.openxmlformats.org/officeDocument/2006/relationships/hyperlink" Target="https://www.justdial.com/Thiruvananthapuram/Residential-Solar-Panel-Installation-Services/nct-12154454" TargetMode="External"/><Relationship Id="rId4" Type="http://schemas.openxmlformats.org/officeDocument/2006/relationships/hyperlink" Target="https://www.justdial.com/Thiruvananthapuram/Residential-Solar-Panel-Installation-Services/nct-12154454" TargetMode="External"/><Relationship Id="rId5" Type="http://schemas.openxmlformats.org/officeDocument/2006/relationships/hyperlink" Target="https://www.justdial.com/Thiruvananthapuram/Residential-Solar-Panel-Installation-Services/nct-12154454" TargetMode="External"/><Relationship Id="rId6" Type="http://schemas.openxmlformats.org/officeDocument/2006/relationships/hyperlink" Target="https://www.justdial.com/Thiruvananthapuram/Residential-Solar-Panel-Installation-Services/nct-12154454" TargetMode="External"/><Relationship Id="rId7" Type="http://schemas.openxmlformats.org/officeDocument/2006/relationships/hyperlink" Target="https://www.justdial.com/Thiruvananthapuram/Residential-Solar-Panel-Installation-Services/nct-12154454" TargetMode="External"/><Relationship Id="rId8" Type="http://schemas.openxmlformats.org/officeDocument/2006/relationships/hyperlink" Target="https://rudraveenasolutions.com/" TargetMode="External"/><Relationship Id="rId9" Type="http://schemas.openxmlformats.org/officeDocument/2006/relationships/hyperlink" Target="https://www.rudraveenasolutions.com/" TargetMode="External"/><Relationship Id="rId10" Type="http://schemas.openxmlformats.org/officeDocument/2006/relationships/hyperlink" Target="https://www.justdial.com/Thiruvananthapuram/Residential-Solar-Panel-Installation-Services/nct-12154454" TargetMode="External"/><Relationship Id="rId11" Type="http://schemas.openxmlformats.org/officeDocument/2006/relationships/hyperlink" Target="https://lightskyinternational.com/" TargetMode="External"/><Relationship Id="rId12" Type="http://schemas.openxmlformats.org/officeDocument/2006/relationships/hyperlink" Target="https://lightskyinternational.com/" TargetMode="External"/><Relationship Id="rId13" Type="http://schemas.openxmlformats.org/officeDocument/2006/relationships/hyperlink" Target="https://ekiran.kseb.in/documents/2%20and%20upto%203.pdf" TargetMode="External"/><Relationship Id="rId14" Type="http://schemas.openxmlformats.org/officeDocument/2006/relationships/hyperlink" Target="https://ekiran.kseb.in/documents/2%20and%20upto%203.pdf" TargetMode="External"/><Relationship Id="rId15" Type="http://schemas.openxmlformats.org/officeDocument/2006/relationships/hyperlink" Target="https://bsssolar.com/" TargetMode="External"/><Relationship Id="rId16" Type="http://schemas.openxmlformats.org/officeDocument/2006/relationships/hyperlink" Target="https://bsssolar.com/" TargetMode="External"/><Relationship Id="rId17" Type="http://schemas.openxmlformats.org/officeDocument/2006/relationships/hyperlink" Target="https://ongridsolarpowersolutions.com/" TargetMode="External"/><Relationship Id="rId18" Type="http://schemas.openxmlformats.org/officeDocument/2006/relationships/hyperlink" Target="https://www.ongridsolarpowersolutions.com/" TargetMode="External"/><Relationship Id="rId19" Type="http://schemas.openxmlformats.org/officeDocument/2006/relationships/hyperlink" Target="https://greenfactoryindia.com/" TargetMode="External"/><Relationship Id="rId20" Type="http://schemas.openxmlformats.org/officeDocument/2006/relationships/hyperlink" Target="https://greenfactoryindia.com/contact-us" TargetMode="External"/><Relationship Id="rId21" Type="http://schemas.openxmlformats.org/officeDocument/2006/relationships/hyperlink" Target="https://sensol.in/" TargetMode="External"/><Relationship Id="rId22" Type="http://schemas.openxmlformats.org/officeDocument/2006/relationships/hyperlink" Target="https://sensol.in/contact-us/" TargetMode="External"/><Relationship Id="rId23" Type="http://schemas.openxmlformats.org/officeDocument/2006/relationships/hyperlink" Target="https://vaigaapowersolutions.in/" TargetMode="External"/><Relationship Id="rId24" Type="http://schemas.openxmlformats.org/officeDocument/2006/relationships/hyperlink" Target="https://vaigaapowersolutions.in/" TargetMode="External"/><Relationship Id="rId25" Type="http://schemas.openxmlformats.org/officeDocument/2006/relationships/hyperlink" Target="https://comorinsolar.com/" TargetMode="External"/><Relationship Id="rId26" Type="http://schemas.openxmlformats.org/officeDocument/2006/relationships/hyperlink" Target="https://www.comorinsolar.com/" TargetMode="External"/><Relationship Id="rId27" Type="http://schemas.openxmlformats.org/officeDocument/2006/relationships/hyperlink" Target="https://vguardsolartvm.com/" TargetMode="External"/><Relationship Id="rId28" Type="http://schemas.openxmlformats.org/officeDocument/2006/relationships/hyperlink" Target="https://wegasolar.in/" TargetMode="External"/><Relationship Id="rId29" Type="http://schemas.openxmlformats.org/officeDocument/2006/relationships/hyperlink" Target="https://www.wegasolar.in/" TargetMode="External"/><Relationship Id="rId30" Type="http://schemas.openxmlformats.org/officeDocument/2006/relationships/hyperlink" Target="https://mitrapower.in/" TargetMode="External"/><Relationship Id="rId31" Type="http://schemas.openxmlformats.org/officeDocument/2006/relationships/hyperlink" Target="https://www.enfsolar.com/mitra-power-solutions" TargetMode="External"/><Relationship Id="rId32" Type="http://schemas.openxmlformats.org/officeDocument/2006/relationships/hyperlink" Target="https://hivesolar.com/" TargetMode="External"/><Relationship Id="rId33" Type="http://schemas.openxmlformats.org/officeDocument/2006/relationships/hyperlink" Target="https://www.enfsolar.com/hive-solar" TargetMode="External"/><Relationship Id="rId34" Type="http://schemas.openxmlformats.org/officeDocument/2006/relationships/hyperlink" Target="https://raytechnologiestvm.com/" TargetMode="External"/><Relationship Id="rId35" Type="http://schemas.openxmlformats.org/officeDocument/2006/relationships/hyperlink" Target="https://www.enfsolar.com/ray-technologies" TargetMode="External"/><Relationship Id="rId36" Type="http://schemas.openxmlformats.org/officeDocument/2006/relationships/hyperlink" Target="https://premierprojects.in/" TargetMode="External"/><Relationship Id="rId37" Type="http://schemas.openxmlformats.org/officeDocument/2006/relationships/hyperlink" Target="https://www.enfsolar.com/premier-projects" TargetMode="External"/><Relationship Id="rId38" Type="http://schemas.openxmlformats.org/officeDocument/2006/relationships/hyperlink" Target="https://smartsolarglobal.com/" TargetMode="External"/><Relationship Id="rId39" Type="http://schemas.openxmlformats.org/officeDocument/2006/relationships/hyperlink" Target="https://www.enfsolar.com/smart-solar-5" TargetMode="External"/><Relationship Id="rId40" Type="http://schemas.openxmlformats.org/officeDocument/2006/relationships/hyperlink" Target="https://greensun.in/" TargetMode="External"/><Relationship Id="rId41" Type="http://schemas.openxmlformats.org/officeDocument/2006/relationships/hyperlink" Target="https://www.enfsolar.com/green-sun-2" TargetMode="External"/><Relationship Id="rId42" Type="http://schemas.openxmlformats.org/officeDocument/2006/relationships/hyperlink" Target="https://enegix.co.in/" TargetMode="External"/><Relationship Id="rId43" Type="http://schemas.openxmlformats.org/officeDocument/2006/relationships/hyperlink" Target="https://www.enfsolar.com/enegix-enterprises" TargetMode="External"/><Relationship Id="rId44" Type="http://schemas.openxmlformats.org/officeDocument/2006/relationships/hyperlink" Target="https://elsol.co.in/" TargetMode="External"/><Relationship Id="rId45" Type="http://schemas.openxmlformats.org/officeDocument/2006/relationships/hyperlink" Target="https://elsol.co.in/locations/solar-company-in-trivandrum/" TargetMode="External"/><Relationship Id="rId46" Type="http://schemas.openxmlformats.org/officeDocument/2006/relationships/hyperlink" Target="https://azadspicegardens.com/" TargetMode="External"/><Relationship Id="rId47" Type="http://schemas.openxmlformats.org/officeDocument/2006/relationships/hyperlink" Target="https://azadazad.com/contact-us/" TargetMode="External"/><Relationship Id="rId48" Type="http://schemas.openxmlformats.org/officeDocument/2006/relationships/hyperlink" Target="https://kuruvispice.com/" TargetMode="External"/><Relationship Id="rId49" Type="http://schemas.openxmlformats.org/officeDocument/2006/relationships/hyperlink" Target="https://www.kuruvispice.com/policies/contact-information" TargetMode="External"/><Relationship Id="rId50" Type="http://schemas.openxmlformats.org/officeDocument/2006/relationships/hyperlink" Target="https://www.indiamart.com/spicegardenfoods/" TargetMode="External"/><Relationship Id="rId51" Type="http://schemas.openxmlformats.org/officeDocument/2006/relationships/hyperlink" Target="https://www.indiamart.com/badrinath-enterprises-thiruvananthapuram/spice-powder.html" TargetMode="External"/><Relationship Id="rId52" Type="http://schemas.openxmlformats.org/officeDocument/2006/relationships/hyperlink" Target="https://spiceexportersdirectory.com/company/north-malabar-spices-company-thiruvananthapuram-wayanad-kerala-india/" TargetMode="External"/><Relationship Id="rId53" Type="http://schemas.openxmlformats.org/officeDocument/2006/relationships/hyperlink" Target="https://m.indiamart.com/kadaas/" TargetMode="External"/><Relationship Id="rId54" Type="http://schemas.openxmlformats.org/officeDocument/2006/relationships/hyperlink" Target="https://m.indiamart.com/henson-industries" TargetMode="External"/><Relationship Id="rId55" Type="http://schemas.openxmlformats.org/officeDocument/2006/relationships/hyperlink" Target="https://m.indiamart.com/a-j-spices" TargetMode="External"/><Relationship Id="rId56" Type="http://schemas.openxmlformats.org/officeDocument/2006/relationships/hyperlink" Target="https://www.globallinker.com/seller/bitepep" TargetMode="External"/><Relationship Id="rId57" Type="http://schemas.openxmlformats.org/officeDocument/2006/relationships/hyperlink" Target="https://www.justdial.com/Thiruvananthapuram/Masala-Powder-Manufacturers/nct-10313263" TargetMode="External"/><Relationship Id="rId58" Type="http://schemas.openxmlformats.org/officeDocument/2006/relationships/hyperlink" Target="https://dir.indiamart.com/thiruvananthapuram/spices.html" TargetMode="External"/><Relationship Id="rId59" Type="http://schemas.openxmlformats.org/officeDocument/2006/relationships/hyperlink" Target="https://dir.indiamart.com/thiruvananthapuram/spices.html" TargetMode="External"/><Relationship Id="rId60" Type="http://schemas.openxmlformats.org/officeDocument/2006/relationships/hyperlink" Target="https://foodcompaniesdirectory.com/companies/nilamels-kaimals-foods-trivandrum-kerala-india/" TargetMode="External"/><Relationship Id="rId61" Type="http://schemas.openxmlformats.org/officeDocument/2006/relationships/hyperlink" Target="https://dir.indiamart.com/thiruvananthapuram/banana-chips.html" TargetMode="External"/><Relationship Id="rId62" Type="http://schemas.openxmlformats.org/officeDocument/2006/relationships/hyperlink" Target="https://www.indiamart.com/asian-food-products/" TargetMode="External"/><Relationship Id="rId63" Type="http://schemas.openxmlformats.org/officeDocument/2006/relationships/hyperlink" Target="https://dir.indiamart.com/thiruvananthapuram/banana-chips.html" TargetMode="External"/><Relationship Id="rId64" Type="http://schemas.openxmlformats.org/officeDocument/2006/relationships/hyperlink" Target="https://dir.indiamart.com/thiruvananthapuram/banana-chips.html" TargetMode="External"/><Relationship Id="rId65" Type="http://schemas.openxmlformats.org/officeDocument/2006/relationships/hyperlink" Target="https://skchips.in/" TargetMode="External"/><Relationship Id="rId66" Type="http://schemas.openxmlformats.org/officeDocument/2006/relationships/hyperlink" Target="https://www.skchips.in/" TargetMode="External"/><Relationship Id="rId67" Type="http://schemas.openxmlformats.org/officeDocument/2006/relationships/hyperlink" Target="https://drfoodnutri.com/" TargetMode="External"/><Relationship Id="rId68" Type="http://schemas.openxmlformats.org/officeDocument/2006/relationships/hyperlink" Target="https://www.drfoodnutri.com/" TargetMode="External"/><Relationship Id="rId69" Type="http://schemas.openxmlformats.org/officeDocument/2006/relationships/hyperlink" Target="https://dir.indiamart.com/thiruvananthapuram/snack-foods.html" TargetMode="External"/><Relationship Id="rId70" Type="http://schemas.openxmlformats.org/officeDocument/2006/relationships/hyperlink" Target="https://www.indiamart.com/jyothys-snacks/snack-foods.html" TargetMode="External"/><Relationship Id="rId71" Type="http://schemas.openxmlformats.org/officeDocument/2006/relationships/hyperlink" Target="https://www.exportersindia.com/kerala/rice-flour.htm" TargetMode="External"/><Relationship Id="rId72" Type="http://schemas.openxmlformats.org/officeDocument/2006/relationships/hyperlink" Target="https://www.dnb.com/business-directory/company-information.food_manufacturing.in.kerala.thiruvananthapuram.html" TargetMode="External"/><Relationship Id="rId73" Type="http://schemas.openxmlformats.org/officeDocument/2006/relationships/hyperlink" Target="https://www.dnb.com/business-directory/company-information.food_manufacturing.in.kerala.thiruvananthapuram.html" TargetMode="External"/><Relationship Id="rId74" Type="http://schemas.openxmlformats.org/officeDocument/2006/relationships/hyperlink" Target="https://www.dnb.com/business-directory/company-information.food_manufacturing.in.kerala.thiruvananthapuram.html" TargetMode="External"/><Relationship Id="rId75" Type="http://schemas.openxmlformats.org/officeDocument/2006/relationships/hyperlink" Target="https://www.indiamart.com/bread-factory/aboutus.html" TargetMode="External"/><Relationship Id="rId76" Type="http://schemas.openxmlformats.org/officeDocument/2006/relationships/hyperlink" Target="https://dir.indiamart.com/thiruvananthapuram/bakery-products.html" TargetMode="External"/><Relationship Id="rId77" Type="http://schemas.openxmlformats.org/officeDocument/2006/relationships/hyperlink" Target="https://dir.indiamart.com/thiruvananthapuram/bakery-products.html" TargetMode="External"/><Relationship Id="rId78" Type="http://schemas.openxmlformats.org/officeDocument/2006/relationships/hyperlink" Target="https://dir.indiamart.com/thiruvananthapuram/bakery-products.html" TargetMode="External"/><Relationship Id="rId79" Type="http://schemas.openxmlformats.org/officeDocument/2006/relationships/hyperlink" Target="https://www.InstaFinancials.com/company/jeevda-foods-private-limited/U51900KL2019PTC056744" TargetMode="External"/><Relationship Id="rId80" Type="http://schemas.openxmlformats.org/officeDocument/2006/relationships/hyperlink" Target="https://www.zaubacorp.com/company-by-address/PLOT-NO-A39--KINFRA-PARK-MENAMKULAM--MENAMKULAM-P-O-----TRIVANDRUM--KERALA--INDIA---695582" TargetMode="External"/><Relationship Id="rId81" Type="http://schemas.openxmlformats.org/officeDocument/2006/relationships/hyperlink" Target="https://archinect.com/deconinfratech" TargetMode="External"/><Relationship Id="rId82" Type="http://schemas.openxmlformats.org/officeDocument/2006/relationships/hyperlink" Target="https://in.worldorgs.com/catalog/thiruvananthapuram/interior-designer/idesigns" TargetMode="External"/><Relationship Id="rId83" Type="http://schemas.openxmlformats.org/officeDocument/2006/relationships/hyperlink" Target="https://koloapp.in/kerala/flooring-experts/sajeev-s-8--thiruvananthapuram/posts/1628744734" TargetMode="External"/><Relationship Id="rId84" Type="http://schemas.openxmlformats.org/officeDocument/2006/relationships/hyperlink" Target="https://interiordesign.gkwretail.com/interior-designers-in-trivandrum/" TargetMode="External"/><Relationship Id="rId85" Type="http://schemas.openxmlformats.org/officeDocument/2006/relationships/hyperlink" Target="https://atlasinteriors.in/" TargetMode="External"/><Relationship Id="rId86" Type="http://schemas.openxmlformats.org/officeDocument/2006/relationships/hyperlink" Target="https://atlasinteriors.in/trivandrum/" TargetMode="External"/><Relationship Id="rId87" Type="http://schemas.openxmlformats.org/officeDocument/2006/relationships/hyperlink" Target="https://gazellainteriors.com/" TargetMode="External"/><Relationship Id="rId88" Type="http://schemas.openxmlformats.org/officeDocument/2006/relationships/hyperlink" Target="https://gazellainteriors.com/" TargetMode="External"/><Relationship Id="rId89" Type="http://schemas.openxmlformats.org/officeDocument/2006/relationships/hyperlink" Target="https://interiordesign.gkwretail.com/interior-designers-in-trivandrum/" TargetMode="External"/><Relationship Id="rId90" Type="http://schemas.openxmlformats.org/officeDocument/2006/relationships/hyperlink" Target="https://www.justdial.com/Thiruvananthapuram/Perfect-Interiors-Opposite-Kowdiar-Palace-Kowdiar/0471PX471-X471-160601164311-E4E8_BZDET" TargetMode="External"/><Relationship Id="rId91" Type="http://schemas.openxmlformats.org/officeDocument/2006/relationships/hyperlink" Target="https://www.justdial.com/Thiruvananthapuram/Interior-Designers-in-Pattom/nct-10272436" TargetMode="External"/><Relationship Id="rId92" Type="http://schemas.openxmlformats.org/officeDocument/2006/relationships/hyperlink" Target="https://www.justdial.com/Thiruvananthapuram/Interior-Designers-in-Kowdiar/nct-10272436" TargetMode="External"/><Relationship Id="rId93" Type="http://schemas.openxmlformats.org/officeDocument/2006/relationships/hyperlink" Target="https://www.justdial.com/Thiruvananthapuram/Interior-Designers-in-Pattom/nct-10272436" TargetMode="External"/><Relationship Id="rId94" Type="http://schemas.openxmlformats.org/officeDocument/2006/relationships/hyperlink" Target="https://www.justdial.com/Thiruvananthapuram/Interior-Designers-in-Kazhakuttam/nct-10272436" TargetMode="External"/><Relationship Id="rId95" Type="http://schemas.openxmlformats.org/officeDocument/2006/relationships/hyperlink" Target="https://www.justdial.com/Thiruvananthapuram/Interior-Designers-in-Kazhakuttam/nct-10272436" TargetMode="External"/><Relationship Id="rId96" Type="http://schemas.openxmlformats.org/officeDocument/2006/relationships/hyperlink" Target="https://vudpecker.com/" TargetMode="External"/><Relationship Id="rId97" Type="http://schemas.openxmlformats.org/officeDocument/2006/relationships/hyperlink" Target="https://www.vudpecker.com/" TargetMode="External"/><Relationship Id="rId98" Type="http://schemas.openxmlformats.org/officeDocument/2006/relationships/hyperlink" Target="https://woodlessinteriors.com/" TargetMode="External"/><Relationship Id="rId99" Type="http://schemas.openxmlformats.org/officeDocument/2006/relationships/hyperlink" Target="https://woodlessinteriors.com/contacts/" TargetMode="External"/><Relationship Id="rId100" Type="http://schemas.openxmlformats.org/officeDocument/2006/relationships/hyperlink" Target="https://gudinteriors.com/" TargetMode="External"/><Relationship Id="rId101" Type="http://schemas.openxmlformats.org/officeDocument/2006/relationships/hyperlink" Target="https://gudinteriors.com/" TargetMode="External"/><Relationship Id="rId102" Type="http://schemas.openxmlformats.org/officeDocument/2006/relationships/hyperlink" Target="https://spicewood.in/" TargetMode="External"/><Relationship Id="rId103" Type="http://schemas.openxmlformats.org/officeDocument/2006/relationships/hyperlink" Target="https://www.spicewood.in/" TargetMode="External"/><Relationship Id="rId104" Type="http://schemas.openxmlformats.org/officeDocument/2006/relationships/hyperlink" Target="https://woodshine.in/" TargetMode="External"/><Relationship Id="rId105" Type="http://schemas.openxmlformats.org/officeDocument/2006/relationships/hyperlink" Target="https://woodshine.in/contact-us/" TargetMode="External"/><Relationship Id="rId106" Type="http://schemas.openxmlformats.org/officeDocument/2006/relationships/hyperlink" Target="https://drinterio.com/" TargetMode="External"/><Relationship Id="rId107" Type="http://schemas.openxmlformats.org/officeDocument/2006/relationships/hyperlink" Target="https://drinterio.com/" TargetMode="External"/><Relationship Id="rId108" Type="http://schemas.openxmlformats.org/officeDocument/2006/relationships/hyperlink" Target="https://whitepaperinteriors.com/" TargetMode="External"/><Relationship Id="rId109" Type="http://schemas.openxmlformats.org/officeDocument/2006/relationships/hyperlink" Target="https://whitepaperinteriors.com/" TargetMode="External"/><Relationship Id="rId110" Type="http://schemas.openxmlformats.org/officeDocument/2006/relationships/hyperlink" Target="https://fortunexperience.com/" TargetMode="External"/><Relationship Id="rId111" Type="http://schemas.openxmlformats.org/officeDocument/2006/relationships/hyperlink" Target="https://www.fortunexperience.com/services-interior-design-trivandrum/" TargetMode="External"/><Relationship Id="rId112" Type="http://schemas.openxmlformats.org/officeDocument/2006/relationships/hyperlink" Target="https://vcinteriors.in/" TargetMode="External"/><Relationship Id="rId113" Type="http://schemas.openxmlformats.org/officeDocument/2006/relationships/hyperlink" Target="https://vcinteriors.in/" TargetMode="External"/><Relationship Id="rId114" Type="http://schemas.openxmlformats.org/officeDocument/2006/relationships/hyperlink" Target="https://business-kerala.com/directory/listing/interior-designers-trivandrum" TargetMode="External"/><Relationship Id="rId115" Type="http://schemas.openxmlformats.org/officeDocument/2006/relationships/hyperlink" Target="https://www.justdial.com/Thiruvananthapuram/Wooden-Furniture-Dealers/nct-10542688" TargetMode="External"/><Relationship Id="rId116" Type="http://schemas.openxmlformats.org/officeDocument/2006/relationships/hyperlink" Target="https://www.justdial.com/Thiruvananthapuram/Wooden-Furniture-Dealers/nct-10542688" TargetMode="External"/><Relationship Id="rId117" Type="http://schemas.openxmlformats.org/officeDocument/2006/relationships/hyperlink" Target="https://www.justdial.com/Thiruvananthapuram/Wooden-Furniture-Dealers/nct-10542688" TargetMode="External"/><Relationship Id="rId118" Type="http://schemas.openxmlformats.org/officeDocument/2006/relationships/hyperlink" Target="https://www.justdial.com/Thiruvananthapuram/Wooden-Furniture-Dealers/nct-10542688" TargetMode="External"/><Relationship Id="rId119" Type="http://schemas.openxmlformats.org/officeDocument/2006/relationships/hyperlink" Target="https://www.justdial.com/Thiruvananthapuram/Wooden-Furniture-Dealers/nct-10542688" TargetMode="External"/><Relationship Id="rId120" Type="http://schemas.openxmlformats.org/officeDocument/2006/relationships/hyperlink" Target="https://www.justdial.com/Thiruvananthapuram/Wooden-Furniture-Dealers/nct-10542688" TargetMode="External"/><Relationship Id="rId121" Type="http://schemas.openxmlformats.org/officeDocument/2006/relationships/hyperlink" Target="https://yappe.in/kerala/thiruvananthapuram/antique-home-decor/1710171" TargetMode="External"/><Relationship Id="rId122" Type="http://schemas.openxmlformats.org/officeDocument/2006/relationships/hyperlink" Target="https://yappe.in/kerala/thiruvananthapuram/sofas-more-by-stanley-trivandrum/1710175" TargetMode="External"/><Relationship Id="rId123" Type="http://schemas.openxmlformats.org/officeDocument/2006/relationships/hyperlink" Target="https://yappe.in/kerala/thiruvananthapuram/furniture-centre/1710214" TargetMode="External"/><Relationship Id="rId124" Type="http://schemas.openxmlformats.org/officeDocument/2006/relationships/hyperlink" Target="https://thomsonfurniture.in/" TargetMode="External"/><Relationship Id="rId125" Type="http://schemas.openxmlformats.org/officeDocument/2006/relationships/hyperlink" Target="https://thomsonfurniture.in/" TargetMode="External"/><Relationship Id="rId126" Type="http://schemas.openxmlformats.org/officeDocument/2006/relationships/hyperlink" Target="https://www.quickerala.com/trivandrum/furniture-and-fixtures/furniture-shop/sbct-8435-dt-12" TargetMode="External"/><Relationship Id="rId127" Type="http://schemas.openxmlformats.org/officeDocument/2006/relationships/hyperlink" Target="https://www.quickerala.com/trivandrum/kazhakkoottam/popular-furniture/84412" TargetMode="External"/><Relationship Id="rId128" Type="http://schemas.openxmlformats.org/officeDocument/2006/relationships/hyperlink" Target="https://www.quickerala.com/trivandrum/kazhakkoottam/m-m-furniture/427686" TargetMode="External"/><Relationship Id="rId129" Type="http://schemas.openxmlformats.org/officeDocument/2006/relationships/hyperlink" Target="https://www.quickerala.com/trivandrum/furniture-and-fixtures/furniture-shop/sbct-8435-dt-12" TargetMode="External"/><Relationship Id="rId130" Type="http://schemas.openxmlformats.org/officeDocument/2006/relationships/hyperlink" Target="https://www.justdial.com/Thiruvananthapuram/Wooden-Furniture-Dealers/nct-10542688" TargetMode="External"/><Relationship Id="rId131" Type="http://schemas.openxmlformats.org/officeDocument/2006/relationships/hyperlink" Target="https://www.justdial.com/Thiruvananthapuram/Wooden-Furniture-Dealers/nct-10542688" TargetMode="External"/><Relationship Id="rId132" Type="http://schemas.openxmlformats.org/officeDocument/2006/relationships/hyperlink" Target="https://www.justdial.com/Thiruvananthapuram/Wooden-Furniture-Dealers/nct-10542688" TargetMode="External"/><Relationship Id="rId133" Type="http://schemas.openxmlformats.org/officeDocument/2006/relationships/hyperlink" Target="https://www.justdial.com/Thiruvananthapuram/Wooden-Furniture-Dealers/nct-10542688" TargetMode="External"/><Relationship Id="rId134" Type="http://schemas.openxmlformats.org/officeDocument/2006/relationships/hyperlink" Target="https://www.justdial.com/Thiruvananthapuram/Wooden-Furniture-Dealers/nct-10542688" TargetMode="External"/><Relationship Id="rId135" Type="http://schemas.openxmlformats.org/officeDocument/2006/relationships/hyperlink" Target="https://www.quickerala.com/trivandrum/furniture-and-fixtures/furniture-shop/sbct-8435-dt-12" TargetMode="External"/><Relationship Id="rId136" Type="http://schemas.openxmlformats.org/officeDocument/2006/relationships/hyperlink" Target="https://www.quickerala.com/trivandrum/furniture-and-fixtures/furniture-shop/sbct-8435-dt-12" TargetMode="External"/><Relationship Id="rId137" Type="http://schemas.openxmlformats.org/officeDocument/2006/relationships/hyperlink" Target="https://dir.indiamart.com/thiruvananthapuram/wooden-furniture.html" TargetMode="External"/><Relationship Id="rId138" Type="http://schemas.openxmlformats.org/officeDocument/2006/relationships/drawing" Target="../drawings/drawing2.xml"/><Relationship Id="rId139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FF72"/>
    <pageSetUpPr fitToPage="false"/>
  </sheetPr>
  <dimension ref="A1:L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4" min="11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3" t="s">
        <v>8</v>
      </c>
      <c r="I4" s="3" t="s">
        <v>9</v>
      </c>
    </row>
    <row r="5" customFormat="false" ht="39.75" hidden="false" customHeight="true" outlineLevel="0" collapsed="false">
      <c r="A5" s="4" t="n">
        <f aca="false">COUNTA(Leads!$A$5:$A$400)</f>
        <v>102</v>
      </c>
      <c r="B5" s="4" t="n">
        <f aca="false">SUM(Leads!$T$5:$T$400)</f>
        <v>0</v>
      </c>
      <c r="C5" s="4" t="n">
        <f aca="false">COUNTIF(Leads!$T$5:$T$400,"&gt;0")</f>
        <v>0</v>
      </c>
      <c r="D5" s="4" t="n">
        <f aca="false">COUNTIF(Leads!$S$5:$S$400,"Interested")+COUNTIF(Leads!$S$5:$S$400,"Meeting / Proposal Sent")</f>
        <v>0</v>
      </c>
      <c r="E5" s="5" t="n">
        <f aca="false">COUNTIF(Leads!$S$5:$S$400,"Converted")</f>
        <v>0</v>
      </c>
      <c r="F5" s="6" t="n">
        <f aca="false">IFERROR(E5/C5,0)</f>
        <v>0</v>
      </c>
      <c r="H5" s="7" t="n">
        <f aca="false">SUMIFS(Leads!$W$5:$W$400,Leads!$S$5:$S$400,"Converted")</f>
        <v>0</v>
      </c>
      <c r="I5" s="8" t="n">
        <f aca="false">COUNTIF(Leads!$M$5:$M$400,"No website*")</f>
        <v>68</v>
      </c>
    </row>
    <row r="6" customFormat="false" ht="15" hidden="false" customHeight="false" outlineLevel="0" collapsed="false">
      <c r="A6" s="2" t="s">
        <v>10</v>
      </c>
    </row>
    <row r="8" customFormat="false" ht="15" hidden="false" customHeight="false" outlineLevel="0" collapsed="false">
      <c r="A8" s="9" t="s">
        <v>11</v>
      </c>
      <c r="H8" s="9" t="s">
        <v>12</v>
      </c>
      <c r="K8" s="9" t="s">
        <v>13</v>
      </c>
    </row>
    <row r="9" customFormat="false" ht="15" hidden="false" customHeight="false" outlineLevel="0" collapsed="false">
      <c r="A9" s="10" t="s">
        <v>14</v>
      </c>
      <c r="B9" s="10" t="s">
        <v>15</v>
      </c>
      <c r="C9" s="10" t="s">
        <v>3</v>
      </c>
      <c r="D9" s="10" t="s">
        <v>16</v>
      </c>
      <c r="E9" s="10" t="s">
        <v>6</v>
      </c>
      <c r="F9" s="10" t="s">
        <v>17</v>
      </c>
      <c r="H9" s="10" t="s">
        <v>18</v>
      </c>
      <c r="I9" s="10" t="s">
        <v>19</v>
      </c>
      <c r="K9" s="10" t="s">
        <v>20</v>
      </c>
      <c r="L9" s="10" t="s">
        <v>15</v>
      </c>
    </row>
    <row r="10" customFormat="false" ht="15" hidden="false" customHeight="false" outlineLevel="0" collapsed="false">
      <c r="A10" s="11" t="s">
        <v>21</v>
      </c>
      <c r="B10" s="11" t="n">
        <f aca="false">COUNTIF(Leads!$B$5:$B$400,A10)</f>
        <v>26</v>
      </c>
      <c r="C10" s="11" t="n">
        <f aca="false">SUMIFS(Leads!$T$5:$T$400,Leads!$B$5:$B$400,A10)</f>
        <v>0</v>
      </c>
      <c r="D10" s="11" t="n">
        <f aca="false">COUNTIFS(Leads!$B$5:$B$400,A10,Leads!$T$5:$T$400,"&gt;0")</f>
        <v>0</v>
      </c>
      <c r="E10" s="11" t="n">
        <f aca="false">COUNTIFS(Leads!$B$5:$B$400,A10,Leads!$S$5:$S$400,"Converted")</f>
        <v>0</v>
      </c>
      <c r="F10" s="12" t="n">
        <f aca="false">IFERROR(E10/D10,0)</f>
        <v>0</v>
      </c>
      <c r="H10" s="11" t="s">
        <v>22</v>
      </c>
      <c r="I10" s="11" t="n">
        <f aca="false">COUNTIF('Call Log'!$E$5:$E$1000,H10)</f>
        <v>0</v>
      </c>
      <c r="K10" s="11" t="s">
        <v>6</v>
      </c>
      <c r="L10" s="13" t="n">
        <f aca="false">E5</f>
        <v>0</v>
      </c>
    </row>
    <row r="11" customFormat="false" ht="15" hidden="false" customHeight="false" outlineLevel="0" collapsed="false">
      <c r="A11" s="14" t="s">
        <v>23</v>
      </c>
      <c r="B11" s="14" t="n">
        <f aca="false">COUNTIF(Leads!$B$5:$B$400,A11)</f>
        <v>12</v>
      </c>
      <c r="C11" s="14" t="n">
        <f aca="false">SUMIFS(Leads!$T$5:$T$400,Leads!$B$5:$B$400,A11)</f>
        <v>0</v>
      </c>
      <c r="D11" s="14" t="n">
        <f aca="false">COUNTIFS(Leads!$B$5:$B$400,A11,Leads!$T$5:$T$400,"&gt;0")</f>
        <v>0</v>
      </c>
      <c r="E11" s="14" t="n">
        <f aca="false">COUNTIFS(Leads!$B$5:$B$400,A11,Leads!$S$5:$S$400,"Converted")</f>
        <v>0</v>
      </c>
      <c r="F11" s="15" t="n">
        <f aca="false">IFERROR(E11/D11,0)</f>
        <v>0</v>
      </c>
      <c r="H11" s="11" t="s">
        <v>24</v>
      </c>
      <c r="I11" s="11" t="n">
        <f aca="false">COUNTIF('Call Log'!$E$5:$E$1000,H11)</f>
        <v>0</v>
      </c>
      <c r="K11" s="11" t="s">
        <v>25</v>
      </c>
      <c r="L11" s="11" t="n">
        <f aca="false">MAX(C5-E5,0)</f>
        <v>0</v>
      </c>
    </row>
    <row r="12" customFormat="false" ht="15" hidden="false" customHeight="false" outlineLevel="0" collapsed="false">
      <c r="A12" s="11" t="s">
        <v>26</v>
      </c>
      <c r="B12" s="11" t="n">
        <f aca="false">COUNTIF(Leads!$B$5:$B$400,A12)</f>
        <v>19</v>
      </c>
      <c r="C12" s="11" t="n">
        <f aca="false">SUMIFS(Leads!$T$5:$T$400,Leads!$B$5:$B$400,A12)</f>
        <v>0</v>
      </c>
      <c r="D12" s="11" t="n">
        <f aca="false">COUNTIFS(Leads!$B$5:$B$400,A12,Leads!$T$5:$T$400,"&gt;0")</f>
        <v>0</v>
      </c>
      <c r="E12" s="11" t="n">
        <f aca="false">COUNTIFS(Leads!$B$5:$B$400,A12,Leads!$S$5:$S$400,"Converted")</f>
        <v>0</v>
      </c>
      <c r="F12" s="12" t="n">
        <f aca="false">IFERROR(E12/D12,0)</f>
        <v>0</v>
      </c>
      <c r="H12" s="11" t="s">
        <v>27</v>
      </c>
      <c r="I12" s="11" t="n">
        <f aca="false">COUNTIF('Call Log'!$E$5:$E$1000,H12)</f>
        <v>0</v>
      </c>
      <c r="K12" s="11" t="s">
        <v>28</v>
      </c>
      <c r="L12" s="11" t="n">
        <f aca="false">MAX(A5-C5,0)</f>
        <v>102</v>
      </c>
    </row>
    <row r="13" customFormat="false" ht="15" hidden="false" customHeight="false" outlineLevel="0" collapsed="false">
      <c r="A13" s="14" t="s">
        <v>29</v>
      </c>
      <c r="B13" s="14" t="n">
        <f aca="false">COUNTIF(Leads!$B$5:$B$400,A13)</f>
        <v>23</v>
      </c>
      <c r="C13" s="14" t="n">
        <f aca="false">SUMIFS(Leads!$T$5:$T$400,Leads!$B$5:$B$400,A13)</f>
        <v>0</v>
      </c>
      <c r="D13" s="14" t="n">
        <f aca="false">COUNTIFS(Leads!$B$5:$B$400,A13,Leads!$T$5:$T$400,"&gt;0")</f>
        <v>0</v>
      </c>
      <c r="E13" s="14" t="n">
        <f aca="false">COUNTIFS(Leads!$B$5:$B$400,A13,Leads!$S$5:$S$400,"Converted")</f>
        <v>0</v>
      </c>
      <c r="F13" s="15" t="n">
        <f aca="false">IFERROR(E13/D13,0)</f>
        <v>0</v>
      </c>
      <c r="H13" s="11" t="s">
        <v>30</v>
      </c>
      <c r="I13" s="11" t="n">
        <f aca="false">COUNTIF('Call Log'!$E$5:$E$1000,H13)</f>
        <v>0</v>
      </c>
    </row>
    <row r="14" customFormat="false" ht="15" hidden="false" customHeight="false" outlineLevel="0" collapsed="false">
      <c r="A14" s="11" t="s">
        <v>31</v>
      </c>
      <c r="B14" s="11" t="n">
        <f aca="false">COUNTIF(Leads!$B$5:$B$400,A14)</f>
        <v>22</v>
      </c>
      <c r="C14" s="11" t="n">
        <f aca="false">SUMIFS(Leads!$T$5:$T$400,Leads!$B$5:$B$400,A14)</f>
        <v>0</v>
      </c>
      <c r="D14" s="11" t="n">
        <f aca="false">COUNTIFS(Leads!$B$5:$B$400,A14,Leads!$T$5:$T$400,"&gt;0")</f>
        <v>0</v>
      </c>
      <c r="E14" s="11" t="n">
        <f aca="false">COUNTIFS(Leads!$B$5:$B$400,A14,Leads!$S$5:$S$400,"Converted")</f>
        <v>0</v>
      </c>
      <c r="F14" s="12" t="n">
        <f aca="false">IFERROR(E14/D14,0)</f>
        <v>0</v>
      </c>
      <c r="H14" s="11" t="s">
        <v>32</v>
      </c>
      <c r="I14" s="11" t="n">
        <f aca="false">COUNTIF('Call Log'!$E$5:$E$1000,H14)</f>
        <v>0</v>
      </c>
      <c r="K14" s="9" t="s">
        <v>33</v>
      </c>
    </row>
    <row r="15" customFormat="false" ht="15" hidden="false" customHeight="false" outlineLevel="0" collapsed="false">
      <c r="A15" s="16" t="s">
        <v>34</v>
      </c>
      <c r="B15" s="16" t="n">
        <f aca="false">SUM(B10:B14)</f>
        <v>102</v>
      </c>
      <c r="C15" s="16" t="n">
        <f aca="false">SUM(C10:C14)</f>
        <v>0</v>
      </c>
      <c r="D15" s="16" t="n">
        <f aca="false">SUM(D10:D14)</f>
        <v>0</v>
      </c>
      <c r="E15" s="16" t="n">
        <f aca="false">SUM(E10:E14)</f>
        <v>0</v>
      </c>
      <c r="F15" s="17" t="n">
        <f aca="false">IFERROR(E15/D15,0)</f>
        <v>0</v>
      </c>
      <c r="H15" s="11" t="s">
        <v>6</v>
      </c>
      <c r="I15" s="11" t="n">
        <f aca="false">COUNTIF('Call Log'!$E$5:$E$1000,H15)</f>
        <v>0</v>
      </c>
      <c r="K15" s="10" t="s">
        <v>35</v>
      </c>
      <c r="L15" s="10" t="s">
        <v>15</v>
      </c>
    </row>
    <row r="16" customFormat="false" ht="15" hidden="false" customHeight="false" outlineLevel="0" collapsed="false">
      <c r="H16" s="11" t="s">
        <v>36</v>
      </c>
      <c r="I16" s="11" t="n">
        <f aca="false">COUNTIF('Call Log'!$E$5:$E$1000,H16)</f>
        <v>0</v>
      </c>
      <c r="K16" s="11" t="s">
        <v>37</v>
      </c>
      <c r="L16" s="11" t="n">
        <f aca="false">COUNTIF(Leads!$S$5:$S$400,K16)</f>
        <v>102</v>
      </c>
    </row>
    <row r="17" customFormat="false" ht="15" hidden="false" customHeight="false" outlineLevel="0" collapsed="false">
      <c r="H17" s="11" t="s">
        <v>38</v>
      </c>
      <c r="I17" s="11" t="n">
        <f aca="false">COUNTIF('Call Log'!$E$5:$E$1000,H17)</f>
        <v>0</v>
      </c>
      <c r="K17" s="11" t="s">
        <v>39</v>
      </c>
      <c r="L17" s="11" t="n">
        <f aca="false">COUNTIF(Leads!$S$5:$S$400,K17)</f>
        <v>0</v>
      </c>
    </row>
    <row r="18" customFormat="false" ht="15" hidden="false" customHeight="false" outlineLevel="0" collapsed="false">
      <c r="H18" s="9" t="s">
        <v>34</v>
      </c>
      <c r="I18" s="9" t="n">
        <f aca="false">SUM(I10:I17)</f>
        <v>0</v>
      </c>
      <c r="K18" s="11" t="s">
        <v>40</v>
      </c>
      <c r="L18" s="11" t="n">
        <f aca="false">COUNTIF(Leads!$S$5:$S$400,K18)</f>
        <v>0</v>
      </c>
    </row>
    <row r="19" customFormat="false" ht="15" hidden="false" customHeight="false" outlineLevel="0" collapsed="false">
      <c r="K19" s="11" t="s">
        <v>27</v>
      </c>
      <c r="L19" s="11" t="n">
        <f aca="false">COUNTIF(Leads!$S$5:$S$400,K19)</f>
        <v>0</v>
      </c>
    </row>
    <row r="20" customFormat="false" ht="15" hidden="false" customHeight="false" outlineLevel="0" collapsed="false">
      <c r="K20" s="11" t="s">
        <v>41</v>
      </c>
      <c r="L20" s="11" t="n">
        <f aca="false">COUNTIF(Leads!$S$5:$S$400,K20)</f>
        <v>0</v>
      </c>
    </row>
    <row r="21" customFormat="false" ht="15" hidden="false" customHeight="false" outlineLevel="0" collapsed="false">
      <c r="K21" s="11" t="s">
        <v>6</v>
      </c>
      <c r="L21" s="11" t="n">
        <f aca="false">COUNTIF(Leads!$S$5:$S$400,K21)</f>
        <v>0</v>
      </c>
    </row>
    <row r="22" customFormat="false" ht="15" hidden="false" customHeight="false" outlineLevel="0" collapsed="false">
      <c r="K22" s="11" t="s">
        <v>36</v>
      </c>
      <c r="L22" s="11" t="n">
        <f aca="false">COUNTIF(Leads!$S$5:$S$400,K22)</f>
        <v>0</v>
      </c>
    </row>
    <row r="23" customFormat="false" ht="15" hidden="false" customHeight="false" outlineLevel="0" collapsed="false">
      <c r="K23" s="11" t="s">
        <v>42</v>
      </c>
      <c r="L23" s="11" t="n">
        <f aca="false">COUNTIF(Leads!$S$5:$S$400,K23)</f>
        <v>0</v>
      </c>
    </row>
    <row r="25" customFormat="false" ht="15" hidden="false" customHeight="false" outlineLevel="0" collapsed="false">
      <c r="A25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2E"/>
    <pageSetUpPr fitToPage="false"/>
  </sheetPr>
  <dimension ref="A1:X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7"/>
    <col collapsed="false" customWidth="true" hidden="false" outlineLevel="0" max="10" min="8" style="0" width="22"/>
    <col collapsed="false" customWidth="true" hidden="false" outlineLevel="0" max="11" min="11" style="0" width="30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8"/>
    <col collapsed="false" customWidth="true" hidden="false" outlineLevel="0" max="17" min="17" style="0" width="60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1" style="0" width="13"/>
    <col collapsed="false" customWidth="true" hidden="false" outlineLevel="0" max="23" min="23" style="0" width="14"/>
    <col collapsed="false" customWidth="true" hidden="false" outlineLevel="0" max="24" min="24" style="0" width="40"/>
  </cols>
  <sheetData>
    <row r="1" customFormat="false" ht="22.05" hidden="false" customHeight="false" outlineLevel="0" collapsed="false">
      <c r="A1" s="1" t="s">
        <v>44</v>
      </c>
    </row>
    <row r="2" customFormat="false" ht="27.75" hidden="false" customHeight="true" outlineLevel="0" collapsed="false">
      <c r="A2" s="18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4" customFormat="false" ht="30" hidden="false" customHeight="true" outlineLevel="0" collapsed="false">
      <c r="A4" s="10" t="s">
        <v>46</v>
      </c>
      <c r="B4" s="10" t="s">
        <v>14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33</v>
      </c>
      <c r="T4" s="10" t="s">
        <v>3</v>
      </c>
      <c r="U4" s="10" t="s">
        <v>63</v>
      </c>
      <c r="V4" s="10" t="s">
        <v>64</v>
      </c>
      <c r="W4" s="10" t="s">
        <v>65</v>
      </c>
      <c r="X4" s="10" t="s">
        <v>66</v>
      </c>
    </row>
    <row r="5" customFormat="false" ht="61.15" hidden="false" customHeight="false" outlineLevel="0" collapsed="false">
      <c r="A5" s="19" t="s">
        <v>67</v>
      </c>
      <c r="B5" s="19" t="s">
        <v>21</v>
      </c>
      <c r="C5" s="19" t="s">
        <v>68</v>
      </c>
      <c r="D5" s="19" t="s">
        <v>69</v>
      </c>
      <c r="E5" s="19" t="s">
        <v>70</v>
      </c>
      <c r="F5" s="19" t="s">
        <v>71</v>
      </c>
      <c r="G5" s="19" t="s">
        <v>72</v>
      </c>
      <c r="H5" s="19" t="s">
        <v>73</v>
      </c>
      <c r="I5" s="19" t="s">
        <v>74</v>
      </c>
      <c r="J5" s="19" t="s">
        <v>75</v>
      </c>
      <c r="K5" s="19" t="s">
        <v>75</v>
      </c>
      <c r="L5" s="20" t="s">
        <v>76</v>
      </c>
      <c r="M5" s="19" t="s">
        <v>77</v>
      </c>
      <c r="N5" s="19" t="s">
        <v>78</v>
      </c>
      <c r="O5" s="19" t="s">
        <v>79</v>
      </c>
      <c r="P5" s="20" t="s">
        <v>80</v>
      </c>
      <c r="Q5" s="19" t="s">
        <v>81</v>
      </c>
      <c r="R5" s="21" t="s">
        <v>82</v>
      </c>
      <c r="S5" s="22" t="s">
        <v>37</v>
      </c>
      <c r="T5" s="23" t="n">
        <f aca="false">COUNTIF('Call Log'!$B:$B,A5)</f>
        <v>0</v>
      </c>
      <c r="U5" s="24" t="str">
        <f aca="false">IF(T5=0,"",_xlfn.MAXIFS('Call Log'!$A:$A,'Call Log'!$B:$B,A5))</f>
        <v/>
      </c>
      <c r="V5" s="25"/>
      <c r="W5" s="26"/>
      <c r="X5" s="22"/>
    </row>
    <row r="6" customFormat="false" ht="73.1" hidden="false" customHeight="false" outlineLevel="0" collapsed="false">
      <c r="A6" s="27" t="s">
        <v>83</v>
      </c>
      <c r="B6" s="27" t="s">
        <v>21</v>
      </c>
      <c r="C6" s="27" t="s">
        <v>84</v>
      </c>
      <c r="D6" s="27" t="s">
        <v>69</v>
      </c>
      <c r="E6" s="27" t="s">
        <v>85</v>
      </c>
      <c r="F6" s="27" t="s">
        <v>86</v>
      </c>
      <c r="G6" s="27" t="s">
        <v>87</v>
      </c>
      <c r="H6" s="27" t="s">
        <v>73</v>
      </c>
      <c r="I6" s="27" t="s">
        <v>74</v>
      </c>
      <c r="J6" s="27" t="s">
        <v>75</v>
      </c>
      <c r="K6" s="27" t="s">
        <v>75</v>
      </c>
      <c r="L6" s="27" t="s">
        <v>75</v>
      </c>
      <c r="M6" s="27" t="s">
        <v>88</v>
      </c>
      <c r="N6" s="27" t="s">
        <v>89</v>
      </c>
      <c r="O6" s="27" t="s">
        <v>90</v>
      </c>
      <c r="P6" s="28" t="s">
        <v>80</v>
      </c>
      <c r="Q6" s="27" t="s">
        <v>91</v>
      </c>
      <c r="R6" s="29" t="s">
        <v>82</v>
      </c>
      <c r="S6" s="22" t="s">
        <v>37</v>
      </c>
      <c r="T6" s="30" t="n">
        <f aca="false">COUNTIF('Call Log'!$B:$B,A6)</f>
        <v>0</v>
      </c>
      <c r="U6" s="31" t="str">
        <f aca="false">IF(T6=0,"",_xlfn.MAXIFS('Call Log'!$A:$A,'Call Log'!$B:$B,A6))</f>
        <v/>
      </c>
      <c r="V6" s="25"/>
      <c r="W6" s="26"/>
      <c r="X6" s="22"/>
    </row>
    <row r="7" customFormat="false" ht="49.25" hidden="false" customHeight="false" outlineLevel="0" collapsed="false">
      <c r="A7" s="19" t="s">
        <v>92</v>
      </c>
      <c r="B7" s="19" t="s">
        <v>21</v>
      </c>
      <c r="C7" s="19" t="s">
        <v>93</v>
      </c>
      <c r="D7" s="19" t="s">
        <v>69</v>
      </c>
      <c r="E7" s="19" t="s">
        <v>85</v>
      </c>
      <c r="F7" s="19" t="s">
        <v>86</v>
      </c>
      <c r="G7" s="19" t="s">
        <v>94</v>
      </c>
      <c r="H7" s="19" t="s">
        <v>73</v>
      </c>
      <c r="I7" s="19" t="s">
        <v>74</v>
      </c>
      <c r="J7" s="19" t="s">
        <v>75</v>
      </c>
      <c r="K7" s="19" t="s">
        <v>75</v>
      </c>
      <c r="L7" s="19" t="s">
        <v>75</v>
      </c>
      <c r="M7" s="19" t="s">
        <v>88</v>
      </c>
      <c r="N7" s="19" t="s">
        <v>75</v>
      </c>
      <c r="O7" s="19" t="s">
        <v>90</v>
      </c>
      <c r="P7" s="20" t="s">
        <v>80</v>
      </c>
      <c r="Q7" s="19" t="s">
        <v>95</v>
      </c>
      <c r="R7" s="21" t="s">
        <v>82</v>
      </c>
      <c r="S7" s="22" t="s">
        <v>37</v>
      </c>
      <c r="T7" s="23" t="n">
        <f aca="false">COUNTIF('Call Log'!$B:$B,A7)</f>
        <v>0</v>
      </c>
      <c r="U7" s="24" t="str">
        <f aca="false">IF(T7=0,"",_xlfn.MAXIFS('Call Log'!$A:$A,'Call Log'!$B:$B,A7))</f>
        <v/>
      </c>
      <c r="V7" s="25"/>
      <c r="W7" s="26"/>
      <c r="X7" s="22"/>
    </row>
    <row r="8" customFormat="false" ht="73.1" hidden="false" customHeight="false" outlineLevel="0" collapsed="false">
      <c r="A8" s="27" t="s">
        <v>96</v>
      </c>
      <c r="B8" s="27" t="s">
        <v>21</v>
      </c>
      <c r="C8" s="27" t="s">
        <v>97</v>
      </c>
      <c r="D8" s="27" t="s">
        <v>69</v>
      </c>
      <c r="E8" s="27" t="s">
        <v>98</v>
      </c>
      <c r="F8" s="27" t="s">
        <v>99</v>
      </c>
      <c r="G8" s="27" t="s">
        <v>100</v>
      </c>
      <c r="H8" s="27" t="s">
        <v>73</v>
      </c>
      <c r="I8" s="27" t="s">
        <v>74</v>
      </c>
      <c r="J8" s="27" t="s">
        <v>75</v>
      </c>
      <c r="K8" s="27" t="s">
        <v>75</v>
      </c>
      <c r="L8" s="27" t="s">
        <v>75</v>
      </c>
      <c r="M8" s="27" t="s">
        <v>88</v>
      </c>
      <c r="N8" s="27" t="s">
        <v>75</v>
      </c>
      <c r="O8" s="27" t="s">
        <v>90</v>
      </c>
      <c r="P8" s="28" t="s">
        <v>80</v>
      </c>
      <c r="Q8" s="27" t="s">
        <v>101</v>
      </c>
      <c r="R8" s="29" t="s">
        <v>82</v>
      </c>
      <c r="S8" s="22" t="s">
        <v>37</v>
      </c>
      <c r="T8" s="30" t="n">
        <f aca="false">COUNTIF('Call Log'!$B:$B,A8)</f>
        <v>0</v>
      </c>
      <c r="U8" s="31" t="str">
        <f aca="false">IF(T8=0,"",_xlfn.MAXIFS('Call Log'!$A:$A,'Call Log'!$B:$B,A8))</f>
        <v/>
      </c>
      <c r="V8" s="25"/>
      <c r="W8" s="26"/>
      <c r="X8" s="22"/>
    </row>
    <row r="9" customFormat="false" ht="49.25" hidden="false" customHeight="false" outlineLevel="0" collapsed="false">
      <c r="A9" s="19" t="s">
        <v>102</v>
      </c>
      <c r="B9" s="19" t="s">
        <v>21</v>
      </c>
      <c r="C9" s="19" t="s">
        <v>103</v>
      </c>
      <c r="D9" s="19" t="s">
        <v>69</v>
      </c>
      <c r="E9" s="19" t="s">
        <v>104</v>
      </c>
      <c r="F9" s="19" t="s">
        <v>105</v>
      </c>
      <c r="G9" s="19" t="s">
        <v>106</v>
      </c>
      <c r="H9" s="19" t="s">
        <v>73</v>
      </c>
      <c r="I9" s="19" t="s">
        <v>74</v>
      </c>
      <c r="J9" s="19" t="s">
        <v>75</v>
      </c>
      <c r="K9" s="19" t="s">
        <v>75</v>
      </c>
      <c r="L9" s="19" t="s">
        <v>75</v>
      </c>
      <c r="M9" s="19" t="s">
        <v>88</v>
      </c>
      <c r="N9" s="19" t="s">
        <v>75</v>
      </c>
      <c r="O9" s="19" t="s">
        <v>90</v>
      </c>
      <c r="P9" s="20" t="s">
        <v>80</v>
      </c>
      <c r="Q9" s="19" t="s">
        <v>95</v>
      </c>
      <c r="R9" s="21" t="s">
        <v>82</v>
      </c>
      <c r="S9" s="22" t="s">
        <v>37</v>
      </c>
      <c r="T9" s="23" t="n">
        <f aca="false">COUNTIF('Call Log'!$B:$B,A9)</f>
        <v>0</v>
      </c>
      <c r="U9" s="24" t="str">
        <f aca="false">IF(T9=0,"",_xlfn.MAXIFS('Call Log'!$A:$A,'Call Log'!$B:$B,A9))</f>
        <v/>
      </c>
      <c r="V9" s="25"/>
      <c r="W9" s="26"/>
      <c r="X9" s="22"/>
    </row>
    <row r="10" customFormat="false" ht="61.15" hidden="false" customHeight="false" outlineLevel="0" collapsed="false">
      <c r="A10" s="27" t="s">
        <v>107</v>
      </c>
      <c r="B10" s="27" t="s">
        <v>21</v>
      </c>
      <c r="C10" s="27" t="s">
        <v>108</v>
      </c>
      <c r="D10" s="27" t="s">
        <v>69</v>
      </c>
      <c r="E10" s="27" t="s">
        <v>109</v>
      </c>
      <c r="F10" s="27" t="s">
        <v>110</v>
      </c>
      <c r="G10" s="27" t="s">
        <v>111</v>
      </c>
      <c r="H10" s="27" t="s">
        <v>112</v>
      </c>
      <c r="I10" s="27" t="s">
        <v>113</v>
      </c>
      <c r="J10" s="27" t="s">
        <v>114</v>
      </c>
      <c r="K10" s="27" t="s">
        <v>115</v>
      </c>
      <c r="L10" s="28" t="s">
        <v>116</v>
      </c>
      <c r="M10" s="27" t="s">
        <v>77</v>
      </c>
      <c r="N10" s="27" t="s">
        <v>75</v>
      </c>
      <c r="O10" s="27" t="s">
        <v>117</v>
      </c>
      <c r="P10" s="28" t="s">
        <v>118</v>
      </c>
      <c r="Q10" s="27" t="s">
        <v>119</v>
      </c>
      <c r="R10" s="29" t="s">
        <v>82</v>
      </c>
      <c r="S10" s="22" t="s">
        <v>37</v>
      </c>
      <c r="T10" s="30" t="n">
        <f aca="false">COUNTIF('Call Log'!$B:$B,A10)</f>
        <v>0</v>
      </c>
      <c r="U10" s="31" t="str">
        <f aca="false">IF(T10=0,"",_xlfn.MAXIFS('Call Log'!$A:$A,'Call Log'!$B:$B,A10))</f>
        <v/>
      </c>
      <c r="V10" s="25"/>
      <c r="W10" s="26"/>
      <c r="X10" s="22"/>
    </row>
    <row r="11" customFormat="false" ht="49.25" hidden="false" customHeight="false" outlineLevel="0" collapsed="false">
      <c r="A11" s="19" t="s">
        <v>120</v>
      </c>
      <c r="B11" s="19" t="s">
        <v>21</v>
      </c>
      <c r="C11" s="19" t="s">
        <v>121</v>
      </c>
      <c r="D11" s="19" t="s">
        <v>69</v>
      </c>
      <c r="E11" s="19" t="s">
        <v>122</v>
      </c>
      <c r="F11" s="19" t="s">
        <v>123</v>
      </c>
      <c r="G11" s="19" t="s">
        <v>124</v>
      </c>
      <c r="H11" s="19" t="s">
        <v>73</v>
      </c>
      <c r="I11" s="19" t="s">
        <v>74</v>
      </c>
      <c r="J11" s="19" t="s">
        <v>75</v>
      </c>
      <c r="K11" s="19" t="s">
        <v>75</v>
      </c>
      <c r="L11" s="19" t="s">
        <v>75</v>
      </c>
      <c r="M11" s="19" t="s">
        <v>88</v>
      </c>
      <c r="N11" s="19" t="s">
        <v>75</v>
      </c>
      <c r="O11" s="19" t="s">
        <v>90</v>
      </c>
      <c r="P11" s="20" t="s">
        <v>80</v>
      </c>
      <c r="Q11" s="19" t="s">
        <v>95</v>
      </c>
      <c r="R11" s="21" t="s">
        <v>82</v>
      </c>
      <c r="S11" s="22" t="s">
        <v>37</v>
      </c>
      <c r="T11" s="23" t="n">
        <f aca="false">COUNTIF('Call Log'!$B:$B,A11)</f>
        <v>0</v>
      </c>
      <c r="U11" s="24" t="str">
        <f aca="false">IF(T11=0,"",_xlfn.MAXIFS('Call Log'!$A:$A,'Call Log'!$B:$B,A11))</f>
        <v/>
      </c>
      <c r="V11" s="25"/>
      <c r="W11" s="26"/>
      <c r="X11" s="22"/>
    </row>
    <row r="12" customFormat="false" ht="49.25" hidden="false" customHeight="false" outlineLevel="0" collapsed="false">
      <c r="A12" s="27" t="s">
        <v>125</v>
      </c>
      <c r="B12" s="27" t="s">
        <v>21</v>
      </c>
      <c r="C12" s="27" t="s">
        <v>126</v>
      </c>
      <c r="D12" s="27" t="s">
        <v>69</v>
      </c>
      <c r="E12" s="27" t="s">
        <v>127</v>
      </c>
      <c r="F12" s="27" t="s">
        <v>128</v>
      </c>
      <c r="G12" s="27" t="s">
        <v>129</v>
      </c>
      <c r="H12" s="27" t="s">
        <v>112</v>
      </c>
      <c r="I12" s="27" t="s">
        <v>130</v>
      </c>
      <c r="J12" s="27" t="s">
        <v>131</v>
      </c>
      <c r="K12" s="27" t="s">
        <v>132</v>
      </c>
      <c r="L12" s="28" t="s">
        <v>133</v>
      </c>
      <c r="M12" s="27" t="s">
        <v>77</v>
      </c>
      <c r="N12" s="27" t="s">
        <v>75</v>
      </c>
      <c r="O12" s="27" t="s">
        <v>117</v>
      </c>
      <c r="P12" s="28" t="s">
        <v>134</v>
      </c>
      <c r="Q12" s="27" t="s">
        <v>135</v>
      </c>
      <c r="R12" s="29" t="s">
        <v>82</v>
      </c>
      <c r="S12" s="22" t="s">
        <v>37</v>
      </c>
      <c r="T12" s="30" t="n">
        <f aca="false">COUNTIF('Call Log'!$B:$B,A12)</f>
        <v>0</v>
      </c>
      <c r="U12" s="31" t="str">
        <f aca="false">IF(T12=0,"",_xlfn.MAXIFS('Call Log'!$A:$A,'Call Log'!$B:$B,A12))</f>
        <v/>
      </c>
      <c r="V12" s="25"/>
      <c r="W12" s="26"/>
      <c r="X12" s="22"/>
    </row>
    <row r="13" customFormat="false" ht="73.1" hidden="false" customHeight="false" outlineLevel="0" collapsed="false">
      <c r="A13" s="19" t="s">
        <v>136</v>
      </c>
      <c r="B13" s="19" t="s">
        <v>21</v>
      </c>
      <c r="C13" s="19" t="s">
        <v>137</v>
      </c>
      <c r="D13" s="19" t="s">
        <v>69</v>
      </c>
      <c r="E13" s="19" t="s">
        <v>138</v>
      </c>
      <c r="F13" s="19" t="s">
        <v>139</v>
      </c>
      <c r="G13" s="19" t="s">
        <v>140</v>
      </c>
      <c r="H13" s="19" t="s">
        <v>112</v>
      </c>
      <c r="I13" s="19" t="s">
        <v>141</v>
      </c>
      <c r="J13" s="19" t="s">
        <v>142</v>
      </c>
      <c r="K13" s="19" t="s">
        <v>143</v>
      </c>
      <c r="L13" s="19" t="s">
        <v>75</v>
      </c>
      <c r="M13" s="19" t="s">
        <v>144</v>
      </c>
      <c r="N13" s="19" t="s">
        <v>75</v>
      </c>
      <c r="O13" s="19" t="s">
        <v>145</v>
      </c>
      <c r="P13" s="20" t="s">
        <v>146</v>
      </c>
      <c r="Q13" s="19" t="s">
        <v>147</v>
      </c>
      <c r="R13" s="21" t="s">
        <v>148</v>
      </c>
      <c r="S13" s="22" t="s">
        <v>37</v>
      </c>
      <c r="T13" s="23" t="n">
        <f aca="false">COUNTIF('Call Log'!$B:$B,A13)</f>
        <v>0</v>
      </c>
      <c r="U13" s="24" t="str">
        <f aca="false">IF(T13=0,"",_xlfn.MAXIFS('Call Log'!$A:$A,'Call Log'!$B:$B,A13))</f>
        <v/>
      </c>
      <c r="V13" s="25"/>
      <c r="W13" s="26"/>
      <c r="X13" s="22"/>
    </row>
    <row r="14" customFormat="false" ht="61.15" hidden="false" customHeight="false" outlineLevel="0" collapsed="false">
      <c r="A14" s="27" t="s">
        <v>149</v>
      </c>
      <c r="B14" s="27" t="s">
        <v>21</v>
      </c>
      <c r="C14" s="27" t="s">
        <v>150</v>
      </c>
      <c r="D14" s="27" t="s">
        <v>69</v>
      </c>
      <c r="E14" s="27" t="s">
        <v>151</v>
      </c>
      <c r="F14" s="27" t="s">
        <v>152</v>
      </c>
      <c r="G14" s="27" t="s">
        <v>153</v>
      </c>
      <c r="H14" s="27" t="s">
        <v>112</v>
      </c>
      <c r="I14" s="27" t="s">
        <v>154</v>
      </c>
      <c r="J14" s="27" t="s">
        <v>155</v>
      </c>
      <c r="K14" s="27" t="s">
        <v>156</v>
      </c>
      <c r="L14" s="27" t="s">
        <v>75</v>
      </c>
      <c r="M14" s="27" t="s">
        <v>144</v>
      </c>
      <c r="N14" s="27" t="s">
        <v>75</v>
      </c>
      <c r="O14" s="27" t="s">
        <v>145</v>
      </c>
      <c r="P14" s="28" t="s">
        <v>146</v>
      </c>
      <c r="Q14" s="27" t="s">
        <v>157</v>
      </c>
      <c r="R14" s="29" t="s">
        <v>148</v>
      </c>
      <c r="S14" s="22" t="s">
        <v>37</v>
      </c>
      <c r="T14" s="30" t="n">
        <f aca="false">COUNTIF('Call Log'!$B:$B,A14)</f>
        <v>0</v>
      </c>
      <c r="U14" s="31" t="str">
        <f aca="false">IF(T14=0,"",_xlfn.MAXIFS('Call Log'!$A:$A,'Call Log'!$B:$B,A14))</f>
        <v/>
      </c>
      <c r="V14" s="25"/>
      <c r="W14" s="26"/>
      <c r="X14" s="22"/>
    </row>
    <row r="15" customFormat="false" ht="49.25" hidden="false" customHeight="false" outlineLevel="0" collapsed="false">
      <c r="A15" s="19" t="s">
        <v>158</v>
      </c>
      <c r="B15" s="19" t="s">
        <v>21</v>
      </c>
      <c r="C15" s="19" t="s">
        <v>159</v>
      </c>
      <c r="D15" s="19" t="s">
        <v>69</v>
      </c>
      <c r="E15" s="19" t="s">
        <v>160</v>
      </c>
      <c r="F15" s="19" t="s">
        <v>161</v>
      </c>
      <c r="G15" s="19" t="s">
        <v>162</v>
      </c>
      <c r="H15" s="19" t="s">
        <v>163</v>
      </c>
      <c r="I15" s="19" t="s">
        <v>164</v>
      </c>
      <c r="J15" s="19" t="s">
        <v>164</v>
      </c>
      <c r="K15" s="19" t="s">
        <v>165</v>
      </c>
      <c r="L15" s="20" t="s">
        <v>166</v>
      </c>
      <c r="M15" s="19" t="s">
        <v>77</v>
      </c>
      <c r="N15" s="19" t="s">
        <v>75</v>
      </c>
      <c r="O15" s="19" t="s">
        <v>167</v>
      </c>
      <c r="P15" s="20" t="s">
        <v>168</v>
      </c>
      <c r="Q15" s="19" t="s">
        <v>135</v>
      </c>
      <c r="R15" s="21" t="s">
        <v>82</v>
      </c>
      <c r="S15" s="22" t="s">
        <v>37</v>
      </c>
      <c r="T15" s="23" t="n">
        <f aca="false">COUNTIF('Call Log'!$B:$B,A15)</f>
        <v>0</v>
      </c>
      <c r="U15" s="24" t="str">
        <f aca="false">IF(T15=0,"",_xlfn.MAXIFS('Call Log'!$A:$A,'Call Log'!$B:$B,A15))</f>
        <v/>
      </c>
      <c r="V15" s="25"/>
      <c r="W15" s="26"/>
      <c r="X15" s="22"/>
    </row>
    <row r="16" customFormat="false" ht="61.15" hidden="false" customHeight="false" outlineLevel="0" collapsed="false">
      <c r="A16" s="27" t="s">
        <v>169</v>
      </c>
      <c r="B16" s="27" t="s">
        <v>21</v>
      </c>
      <c r="C16" s="27" t="s">
        <v>170</v>
      </c>
      <c r="D16" s="27" t="s">
        <v>69</v>
      </c>
      <c r="E16" s="27" t="s">
        <v>171</v>
      </c>
      <c r="F16" s="27" t="s">
        <v>172</v>
      </c>
      <c r="G16" s="27" t="s">
        <v>173</v>
      </c>
      <c r="H16" s="27" t="s">
        <v>112</v>
      </c>
      <c r="I16" s="27" t="s">
        <v>174</v>
      </c>
      <c r="J16" s="27" t="s">
        <v>75</v>
      </c>
      <c r="K16" s="27" t="s">
        <v>175</v>
      </c>
      <c r="L16" s="28" t="s">
        <v>176</v>
      </c>
      <c r="M16" s="27" t="s">
        <v>77</v>
      </c>
      <c r="N16" s="27" t="s">
        <v>75</v>
      </c>
      <c r="O16" s="27" t="s">
        <v>167</v>
      </c>
      <c r="P16" s="28" t="s">
        <v>177</v>
      </c>
      <c r="Q16" s="27" t="s">
        <v>178</v>
      </c>
      <c r="R16" s="29" t="s">
        <v>82</v>
      </c>
      <c r="S16" s="22" t="s">
        <v>37</v>
      </c>
      <c r="T16" s="30" t="n">
        <f aca="false">COUNTIF('Call Log'!$B:$B,A16)</f>
        <v>0</v>
      </c>
      <c r="U16" s="31" t="str">
        <f aca="false">IF(T16=0,"",_xlfn.MAXIFS('Call Log'!$A:$A,'Call Log'!$B:$B,A16))</f>
        <v/>
      </c>
      <c r="V16" s="25"/>
      <c r="W16" s="26"/>
      <c r="X16" s="22"/>
    </row>
    <row r="17" customFormat="false" ht="49.25" hidden="false" customHeight="false" outlineLevel="0" collapsed="false">
      <c r="A17" s="19" t="s">
        <v>179</v>
      </c>
      <c r="B17" s="19" t="s">
        <v>21</v>
      </c>
      <c r="C17" s="19" t="s">
        <v>180</v>
      </c>
      <c r="D17" s="19" t="s">
        <v>69</v>
      </c>
      <c r="E17" s="19" t="s">
        <v>181</v>
      </c>
      <c r="F17" s="19" t="s">
        <v>182</v>
      </c>
      <c r="G17" s="19" t="s">
        <v>183</v>
      </c>
      <c r="H17" s="19" t="s">
        <v>112</v>
      </c>
      <c r="I17" s="19" t="s">
        <v>184</v>
      </c>
      <c r="J17" s="19" t="s">
        <v>75</v>
      </c>
      <c r="K17" s="19" t="s">
        <v>185</v>
      </c>
      <c r="L17" s="20" t="s">
        <v>186</v>
      </c>
      <c r="M17" s="19" t="s">
        <v>77</v>
      </c>
      <c r="N17" s="19" t="s">
        <v>75</v>
      </c>
      <c r="O17" s="19" t="s">
        <v>167</v>
      </c>
      <c r="P17" s="20" t="s">
        <v>187</v>
      </c>
      <c r="Q17" s="19" t="s">
        <v>135</v>
      </c>
      <c r="R17" s="21" t="s">
        <v>82</v>
      </c>
      <c r="S17" s="22" t="s">
        <v>37</v>
      </c>
      <c r="T17" s="23" t="n">
        <f aca="false">COUNTIF('Call Log'!$B:$B,A17)</f>
        <v>0</v>
      </c>
      <c r="U17" s="24" t="str">
        <f aca="false">IF(T17=0,"",_xlfn.MAXIFS('Call Log'!$A:$A,'Call Log'!$B:$B,A17))</f>
        <v/>
      </c>
      <c r="V17" s="25"/>
      <c r="W17" s="26"/>
      <c r="X17" s="22"/>
    </row>
    <row r="18" customFormat="false" ht="61.15" hidden="false" customHeight="false" outlineLevel="0" collapsed="false">
      <c r="A18" s="27" t="s">
        <v>188</v>
      </c>
      <c r="B18" s="27" t="s">
        <v>21</v>
      </c>
      <c r="C18" s="27" t="s">
        <v>189</v>
      </c>
      <c r="D18" s="27" t="s">
        <v>69</v>
      </c>
      <c r="E18" s="27" t="s">
        <v>190</v>
      </c>
      <c r="F18" s="27" t="s">
        <v>191</v>
      </c>
      <c r="G18" s="27" t="s">
        <v>192</v>
      </c>
      <c r="H18" s="27" t="s">
        <v>112</v>
      </c>
      <c r="I18" s="27" t="s">
        <v>193</v>
      </c>
      <c r="J18" s="27" t="s">
        <v>194</v>
      </c>
      <c r="K18" s="27" t="s">
        <v>195</v>
      </c>
      <c r="L18" s="28" t="s">
        <v>196</v>
      </c>
      <c r="M18" s="27" t="s">
        <v>77</v>
      </c>
      <c r="N18" s="27" t="s">
        <v>75</v>
      </c>
      <c r="O18" s="27" t="s">
        <v>167</v>
      </c>
      <c r="P18" s="28" t="s">
        <v>197</v>
      </c>
      <c r="Q18" s="27" t="s">
        <v>198</v>
      </c>
      <c r="R18" s="29" t="s">
        <v>82</v>
      </c>
      <c r="S18" s="22" t="s">
        <v>37</v>
      </c>
      <c r="T18" s="30" t="n">
        <f aca="false">COUNTIF('Call Log'!$B:$B,A18)</f>
        <v>0</v>
      </c>
      <c r="U18" s="31" t="str">
        <f aca="false">IF(T18=0,"",_xlfn.MAXIFS('Call Log'!$A:$A,'Call Log'!$B:$B,A18))</f>
        <v/>
      </c>
      <c r="V18" s="25"/>
      <c r="W18" s="26"/>
      <c r="X18" s="22"/>
    </row>
    <row r="19" customFormat="false" ht="49.25" hidden="false" customHeight="false" outlineLevel="0" collapsed="false">
      <c r="A19" s="19" t="s">
        <v>199</v>
      </c>
      <c r="B19" s="19" t="s">
        <v>21</v>
      </c>
      <c r="C19" s="19" t="s">
        <v>200</v>
      </c>
      <c r="D19" s="19" t="s">
        <v>69</v>
      </c>
      <c r="E19" s="19" t="s">
        <v>201</v>
      </c>
      <c r="F19" s="19" t="s">
        <v>202</v>
      </c>
      <c r="G19" s="19" t="s">
        <v>203</v>
      </c>
      <c r="H19" s="19" t="s">
        <v>112</v>
      </c>
      <c r="I19" s="19" t="s">
        <v>204</v>
      </c>
      <c r="J19" s="19" t="s">
        <v>205</v>
      </c>
      <c r="K19" s="19" t="s">
        <v>206</v>
      </c>
      <c r="L19" s="20" t="s">
        <v>207</v>
      </c>
      <c r="M19" s="19" t="s">
        <v>77</v>
      </c>
      <c r="N19" s="19" t="s">
        <v>75</v>
      </c>
      <c r="O19" s="19" t="s">
        <v>167</v>
      </c>
      <c r="P19" s="20" t="s">
        <v>208</v>
      </c>
      <c r="Q19" s="19" t="s">
        <v>135</v>
      </c>
      <c r="R19" s="21" t="s">
        <v>82</v>
      </c>
      <c r="S19" s="22" t="s">
        <v>37</v>
      </c>
      <c r="T19" s="23" t="n">
        <f aca="false">COUNTIF('Call Log'!$B:$B,A19)</f>
        <v>0</v>
      </c>
      <c r="U19" s="24" t="str">
        <f aca="false">IF(T19=0,"",_xlfn.MAXIFS('Call Log'!$A:$A,'Call Log'!$B:$B,A19))</f>
        <v/>
      </c>
      <c r="V19" s="25"/>
      <c r="W19" s="26"/>
      <c r="X19" s="22"/>
    </row>
    <row r="20" customFormat="false" ht="49.25" hidden="false" customHeight="false" outlineLevel="0" collapsed="false">
      <c r="A20" s="27" t="s">
        <v>209</v>
      </c>
      <c r="B20" s="27" t="s">
        <v>21</v>
      </c>
      <c r="C20" s="27" t="s">
        <v>210</v>
      </c>
      <c r="D20" s="27" t="s">
        <v>69</v>
      </c>
      <c r="E20" s="27" t="s">
        <v>211</v>
      </c>
      <c r="F20" s="27" t="s">
        <v>212</v>
      </c>
      <c r="G20" s="27" t="s">
        <v>213</v>
      </c>
      <c r="H20" s="27" t="s">
        <v>112</v>
      </c>
      <c r="I20" s="27" t="s">
        <v>214</v>
      </c>
      <c r="J20" s="27" t="s">
        <v>75</v>
      </c>
      <c r="K20" s="27" t="s">
        <v>215</v>
      </c>
      <c r="L20" s="28" t="s">
        <v>216</v>
      </c>
      <c r="M20" s="27" t="s">
        <v>77</v>
      </c>
      <c r="N20" s="27" t="s">
        <v>75</v>
      </c>
      <c r="O20" s="27" t="s">
        <v>117</v>
      </c>
      <c r="P20" s="28" t="s">
        <v>217</v>
      </c>
      <c r="Q20" s="27" t="s">
        <v>135</v>
      </c>
      <c r="R20" s="29" t="s">
        <v>82</v>
      </c>
      <c r="S20" s="22" t="s">
        <v>37</v>
      </c>
      <c r="T20" s="30" t="n">
        <f aca="false">COUNTIF('Call Log'!$B:$B,A20)</f>
        <v>0</v>
      </c>
      <c r="U20" s="31" t="str">
        <f aca="false">IF(T20=0,"",_xlfn.MAXIFS('Call Log'!$A:$A,'Call Log'!$B:$B,A20))</f>
        <v/>
      </c>
      <c r="V20" s="25"/>
      <c r="W20" s="26"/>
      <c r="X20" s="22"/>
    </row>
    <row r="21" customFormat="false" ht="61.15" hidden="false" customHeight="false" outlineLevel="0" collapsed="false">
      <c r="A21" s="19" t="s">
        <v>218</v>
      </c>
      <c r="B21" s="19" t="s">
        <v>21</v>
      </c>
      <c r="C21" s="19" t="s">
        <v>219</v>
      </c>
      <c r="D21" s="19" t="s">
        <v>69</v>
      </c>
      <c r="E21" s="19" t="s">
        <v>220</v>
      </c>
      <c r="F21" s="19" t="s">
        <v>221</v>
      </c>
      <c r="G21" s="19" t="s">
        <v>222</v>
      </c>
      <c r="H21" s="19" t="s">
        <v>112</v>
      </c>
      <c r="I21" s="19" t="s">
        <v>223</v>
      </c>
      <c r="J21" s="19" t="s">
        <v>75</v>
      </c>
      <c r="K21" s="19" t="s">
        <v>224</v>
      </c>
      <c r="L21" s="19" t="s">
        <v>75</v>
      </c>
      <c r="M21" s="19" t="s">
        <v>144</v>
      </c>
      <c r="N21" s="19" t="s">
        <v>75</v>
      </c>
      <c r="O21" s="19" t="s">
        <v>225</v>
      </c>
      <c r="P21" s="20" t="s">
        <v>226</v>
      </c>
      <c r="Q21" s="19" t="s">
        <v>227</v>
      </c>
      <c r="R21" s="21" t="s">
        <v>148</v>
      </c>
      <c r="S21" s="22" t="s">
        <v>37</v>
      </c>
      <c r="T21" s="23" t="n">
        <f aca="false">COUNTIF('Call Log'!$B:$B,A21)</f>
        <v>0</v>
      </c>
      <c r="U21" s="24" t="str">
        <f aca="false">IF(T21=0,"",_xlfn.MAXIFS('Call Log'!$A:$A,'Call Log'!$B:$B,A21))</f>
        <v/>
      </c>
      <c r="V21" s="25"/>
      <c r="W21" s="26"/>
      <c r="X21" s="22"/>
    </row>
    <row r="22" customFormat="false" ht="49.25" hidden="false" customHeight="false" outlineLevel="0" collapsed="false">
      <c r="A22" s="27" t="s">
        <v>228</v>
      </c>
      <c r="B22" s="27" t="s">
        <v>21</v>
      </c>
      <c r="C22" s="27" t="s">
        <v>229</v>
      </c>
      <c r="D22" s="27" t="s">
        <v>69</v>
      </c>
      <c r="E22" s="27" t="s">
        <v>230</v>
      </c>
      <c r="F22" s="27" t="s">
        <v>231</v>
      </c>
      <c r="G22" s="27" t="s">
        <v>232</v>
      </c>
      <c r="H22" s="27" t="s">
        <v>112</v>
      </c>
      <c r="I22" s="27" t="s">
        <v>233</v>
      </c>
      <c r="J22" s="27" t="s">
        <v>75</v>
      </c>
      <c r="K22" s="27" t="s">
        <v>234</v>
      </c>
      <c r="L22" s="28" t="s">
        <v>235</v>
      </c>
      <c r="M22" s="27" t="s">
        <v>77</v>
      </c>
      <c r="N22" s="27" t="s">
        <v>75</v>
      </c>
      <c r="O22" s="27" t="s">
        <v>167</v>
      </c>
      <c r="P22" s="28" t="s">
        <v>236</v>
      </c>
      <c r="Q22" s="27" t="s">
        <v>135</v>
      </c>
      <c r="R22" s="29" t="s">
        <v>82</v>
      </c>
      <c r="S22" s="22" t="s">
        <v>37</v>
      </c>
      <c r="T22" s="30" t="n">
        <f aca="false">COUNTIF('Call Log'!$B:$B,A22)</f>
        <v>0</v>
      </c>
      <c r="U22" s="31" t="str">
        <f aca="false">IF(T22=0,"",_xlfn.MAXIFS('Call Log'!$A:$A,'Call Log'!$B:$B,A22))</f>
        <v/>
      </c>
      <c r="V22" s="25"/>
      <c r="W22" s="26"/>
      <c r="X22" s="22"/>
    </row>
    <row r="23" customFormat="false" ht="61.15" hidden="false" customHeight="false" outlineLevel="0" collapsed="false">
      <c r="A23" s="19" t="s">
        <v>237</v>
      </c>
      <c r="B23" s="19" t="s">
        <v>21</v>
      </c>
      <c r="C23" s="19" t="s">
        <v>238</v>
      </c>
      <c r="D23" s="19" t="s">
        <v>69</v>
      </c>
      <c r="E23" s="19" t="s">
        <v>239</v>
      </c>
      <c r="F23" s="19" t="s">
        <v>240</v>
      </c>
      <c r="G23" s="19" t="s">
        <v>75</v>
      </c>
      <c r="H23" s="19" t="s">
        <v>241</v>
      </c>
      <c r="I23" s="19" t="s">
        <v>75</v>
      </c>
      <c r="J23" s="19" t="s">
        <v>75</v>
      </c>
      <c r="K23" s="19" t="s">
        <v>75</v>
      </c>
      <c r="L23" s="20" t="s">
        <v>242</v>
      </c>
      <c r="M23" s="19" t="s">
        <v>77</v>
      </c>
      <c r="N23" s="19" t="s">
        <v>75</v>
      </c>
      <c r="O23" s="19" t="s">
        <v>243</v>
      </c>
      <c r="P23" s="20" t="s">
        <v>244</v>
      </c>
      <c r="Q23" s="19" t="s">
        <v>245</v>
      </c>
      <c r="R23" s="21" t="s">
        <v>246</v>
      </c>
      <c r="S23" s="22" t="s">
        <v>37</v>
      </c>
      <c r="T23" s="23" t="n">
        <f aca="false">COUNTIF('Call Log'!$B:$B,A23)</f>
        <v>0</v>
      </c>
      <c r="U23" s="24" t="str">
        <f aca="false">IF(T23=0,"",_xlfn.MAXIFS('Call Log'!$A:$A,'Call Log'!$B:$B,A23))</f>
        <v/>
      </c>
      <c r="V23" s="25"/>
      <c r="W23" s="26"/>
      <c r="X23" s="22"/>
    </row>
    <row r="24" customFormat="false" ht="61.15" hidden="false" customHeight="false" outlineLevel="0" collapsed="false">
      <c r="A24" s="27" t="s">
        <v>247</v>
      </c>
      <c r="B24" s="27" t="s">
        <v>21</v>
      </c>
      <c r="C24" s="27" t="s">
        <v>248</v>
      </c>
      <c r="D24" s="27" t="s">
        <v>69</v>
      </c>
      <c r="E24" s="27" t="s">
        <v>249</v>
      </c>
      <c r="F24" s="27" t="s">
        <v>250</v>
      </c>
      <c r="G24" s="27" t="s">
        <v>75</v>
      </c>
      <c r="H24" s="27" t="s">
        <v>241</v>
      </c>
      <c r="I24" s="27" t="s">
        <v>75</v>
      </c>
      <c r="J24" s="27" t="s">
        <v>75</v>
      </c>
      <c r="K24" s="27" t="s">
        <v>75</v>
      </c>
      <c r="L24" s="28" t="s">
        <v>251</v>
      </c>
      <c r="M24" s="27" t="s">
        <v>77</v>
      </c>
      <c r="N24" s="27" t="s">
        <v>75</v>
      </c>
      <c r="O24" s="27" t="s">
        <v>252</v>
      </c>
      <c r="P24" s="28" t="s">
        <v>253</v>
      </c>
      <c r="Q24" s="27" t="s">
        <v>254</v>
      </c>
      <c r="R24" s="29" t="s">
        <v>246</v>
      </c>
      <c r="S24" s="22" t="s">
        <v>37</v>
      </c>
      <c r="T24" s="30" t="n">
        <f aca="false">COUNTIF('Call Log'!$B:$B,A24)</f>
        <v>0</v>
      </c>
      <c r="U24" s="31" t="str">
        <f aca="false">IF(T24=0,"",_xlfn.MAXIFS('Call Log'!$A:$A,'Call Log'!$B:$B,A24))</f>
        <v/>
      </c>
      <c r="V24" s="25"/>
      <c r="W24" s="26"/>
      <c r="X24" s="22"/>
    </row>
    <row r="25" customFormat="false" ht="49.25" hidden="false" customHeight="false" outlineLevel="0" collapsed="false">
      <c r="A25" s="19" t="s">
        <v>255</v>
      </c>
      <c r="B25" s="19" t="s">
        <v>21</v>
      </c>
      <c r="C25" s="19" t="s">
        <v>256</v>
      </c>
      <c r="D25" s="19" t="s">
        <v>69</v>
      </c>
      <c r="E25" s="19" t="s">
        <v>257</v>
      </c>
      <c r="F25" s="19" t="s">
        <v>258</v>
      </c>
      <c r="G25" s="19" t="s">
        <v>75</v>
      </c>
      <c r="H25" s="19" t="s">
        <v>241</v>
      </c>
      <c r="I25" s="19" t="s">
        <v>75</v>
      </c>
      <c r="J25" s="19" t="s">
        <v>75</v>
      </c>
      <c r="K25" s="19" t="s">
        <v>75</v>
      </c>
      <c r="L25" s="20" t="s">
        <v>259</v>
      </c>
      <c r="M25" s="19" t="s">
        <v>77</v>
      </c>
      <c r="N25" s="19" t="s">
        <v>75</v>
      </c>
      <c r="O25" s="19" t="s">
        <v>243</v>
      </c>
      <c r="P25" s="20" t="s">
        <v>260</v>
      </c>
      <c r="Q25" s="19" t="s">
        <v>135</v>
      </c>
      <c r="R25" s="21" t="s">
        <v>246</v>
      </c>
      <c r="S25" s="22" t="s">
        <v>37</v>
      </c>
      <c r="T25" s="23" t="n">
        <f aca="false">COUNTIF('Call Log'!$B:$B,A25)</f>
        <v>0</v>
      </c>
      <c r="U25" s="24" t="str">
        <f aca="false">IF(T25=0,"",_xlfn.MAXIFS('Call Log'!$A:$A,'Call Log'!$B:$B,A25))</f>
        <v/>
      </c>
      <c r="V25" s="25"/>
      <c r="W25" s="26"/>
      <c r="X25" s="22"/>
    </row>
    <row r="26" customFormat="false" ht="49.25" hidden="false" customHeight="false" outlineLevel="0" collapsed="false">
      <c r="A26" s="27" t="s">
        <v>261</v>
      </c>
      <c r="B26" s="27" t="s">
        <v>21</v>
      </c>
      <c r="C26" s="27" t="s">
        <v>262</v>
      </c>
      <c r="D26" s="27" t="s">
        <v>69</v>
      </c>
      <c r="E26" s="27" t="s">
        <v>263</v>
      </c>
      <c r="F26" s="27" t="s">
        <v>264</v>
      </c>
      <c r="G26" s="27" t="s">
        <v>75</v>
      </c>
      <c r="H26" s="27" t="s">
        <v>241</v>
      </c>
      <c r="I26" s="27" t="s">
        <v>75</v>
      </c>
      <c r="J26" s="27" t="s">
        <v>75</v>
      </c>
      <c r="K26" s="27" t="s">
        <v>75</v>
      </c>
      <c r="L26" s="28" t="s">
        <v>265</v>
      </c>
      <c r="M26" s="27" t="s">
        <v>77</v>
      </c>
      <c r="N26" s="27" t="s">
        <v>75</v>
      </c>
      <c r="O26" s="27" t="s">
        <v>243</v>
      </c>
      <c r="P26" s="28" t="s">
        <v>266</v>
      </c>
      <c r="Q26" s="27" t="s">
        <v>135</v>
      </c>
      <c r="R26" s="29" t="s">
        <v>246</v>
      </c>
      <c r="S26" s="22" t="s">
        <v>37</v>
      </c>
      <c r="T26" s="30" t="n">
        <f aca="false">COUNTIF('Call Log'!$B:$B,A26)</f>
        <v>0</v>
      </c>
      <c r="U26" s="31" t="str">
        <f aca="false">IF(T26=0,"",_xlfn.MAXIFS('Call Log'!$A:$A,'Call Log'!$B:$B,A26))</f>
        <v/>
      </c>
      <c r="V26" s="25"/>
      <c r="W26" s="26"/>
      <c r="X26" s="22"/>
    </row>
    <row r="27" customFormat="false" ht="61.15" hidden="false" customHeight="false" outlineLevel="0" collapsed="false">
      <c r="A27" s="19" t="s">
        <v>267</v>
      </c>
      <c r="B27" s="19" t="s">
        <v>21</v>
      </c>
      <c r="C27" s="19" t="s">
        <v>268</v>
      </c>
      <c r="D27" s="19" t="s">
        <v>69</v>
      </c>
      <c r="E27" s="19" t="s">
        <v>220</v>
      </c>
      <c r="F27" s="19" t="s">
        <v>269</v>
      </c>
      <c r="G27" s="19" t="s">
        <v>75</v>
      </c>
      <c r="H27" s="19" t="s">
        <v>241</v>
      </c>
      <c r="I27" s="19" t="s">
        <v>75</v>
      </c>
      <c r="J27" s="19" t="s">
        <v>75</v>
      </c>
      <c r="K27" s="19" t="s">
        <v>75</v>
      </c>
      <c r="L27" s="20" t="s">
        <v>270</v>
      </c>
      <c r="M27" s="19" t="s">
        <v>77</v>
      </c>
      <c r="N27" s="19" t="s">
        <v>75</v>
      </c>
      <c r="O27" s="19" t="s">
        <v>252</v>
      </c>
      <c r="P27" s="20" t="s">
        <v>271</v>
      </c>
      <c r="Q27" s="19" t="s">
        <v>272</v>
      </c>
      <c r="R27" s="21" t="s">
        <v>246</v>
      </c>
      <c r="S27" s="22" t="s">
        <v>37</v>
      </c>
      <c r="T27" s="23" t="n">
        <f aca="false">COUNTIF('Call Log'!$B:$B,A27)</f>
        <v>0</v>
      </c>
      <c r="U27" s="24" t="str">
        <f aca="false">IF(T27=0,"",_xlfn.MAXIFS('Call Log'!$A:$A,'Call Log'!$B:$B,A27))</f>
        <v/>
      </c>
      <c r="V27" s="25"/>
      <c r="W27" s="26"/>
      <c r="X27" s="22"/>
    </row>
    <row r="28" customFormat="false" ht="49.25" hidden="false" customHeight="false" outlineLevel="0" collapsed="false">
      <c r="A28" s="27" t="s">
        <v>273</v>
      </c>
      <c r="B28" s="27" t="s">
        <v>21</v>
      </c>
      <c r="C28" s="27" t="s">
        <v>274</v>
      </c>
      <c r="D28" s="27" t="s">
        <v>69</v>
      </c>
      <c r="E28" s="27" t="s">
        <v>275</v>
      </c>
      <c r="F28" s="27" t="s">
        <v>276</v>
      </c>
      <c r="G28" s="27" t="s">
        <v>75</v>
      </c>
      <c r="H28" s="27" t="s">
        <v>241</v>
      </c>
      <c r="I28" s="27" t="s">
        <v>75</v>
      </c>
      <c r="J28" s="27" t="s">
        <v>75</v>
      </c>
      <c r="K28" s="27" t="s">
        <v>75</v>
      </c>
      <c r="L28" s="28" t="s">
        <v>277</v>
      </c>
      <c r="M28" s="27" t="s">
        <v>77</v>
      </c>
      <c r="N28" s="27" t="s">
        <v>75</v>
      </c>
      <c r="O28" s="27" t="s">
        <v>243</v>
      </c>
      <c r="P28" s="28" t="s">
        <v>278</v>
      </c>
      <c r="Q28" s="27" t="s">
        <v>135</v>
      </c>
      <c r="R28" s="29" t="s">
        <v>246</v>
      </c>
      <c r="S28" s="22" t="s">
        <v>37</v>
      </c>
      <c r="T28" s="30" t="n">
        <f aca="false">COUNTIF('Call Log'!$B:$B,A28)</f>
        <v>0</v>
      </c>
      <c r="U28" s="31" t="str">
        <f aca="false">IF(T28=0,"",_xlfn.MAXIFS('Call Log'!$A:$A,'Call Log'!$B:$B,A28))</f>
        <v/>
      </c>
      <c r="V28" s="25"/>
      <c r="W28" s="26"/>
      <c r="X28" s="22"/>
    </row>
    <row r="29" customFormat="false" ht="49.25" hidden="false" customHeight="false" outlineLevel="0" collapsed="false">
      <c r="A29" s="19" t="s">
        <v>279</v>
      </c>
      <c r="B29" s="19" t="s">
        <v>21</v>
      </c>
      <c r="C29" s="19" t="s">
        <v>280</v>
      </c>
      <c r="D29" s="19" t="s">
        <v>69</v>
      </c>
      <c r="E29" s="19" t="s">
        <v>281</v>
      </c>
      <c r="F29" s="19" t="s">
        <v>282</v>
      </c>
      <c r="G29" s="19" t="s">
        <v>75</v>
      </c>
      <c r="H29" s="19" t="s">
        <v>241</v>
      </c>
      <c r="I29" s="19" t="s">
        <v>75</v>
      </c>
      <c r="J29" s="19" t="s">
        <v>75</v>
      </c>
      <c r="K29" s="19" t="s">
        <v>75</v>
      </c>
      <c r="L29" s="20" t="s">
        <v>283</v>
      </c>
      <c r="M29" s="19" t="s">
        <v>77</v>
      </c>
      <c r="N29" s="19" t="s">
        <v>75</v>
      </c>
      <c r="O29" s="19" t="s">
        <v>243</v>
      </c>
      <c r="P29" s="20" t="s">
        <v>284</v>
      </c>
      <c r="Q29" s="19" t="s">
        <v>135</v>
      </c>
      <c r="R29" s="21" t="s">
        <v>246</v>
      </c>
      <c r="S29" s="22" t="s">
        <v>37</v>
      </c>
      <c r="T29" s="23" t="n">
        <f aca="false">COUNTIF('Call Log'!$B:$B,A29)</f>
        <v>0</v>
      </c>
      <c r="U29" s="24" t="str">
        <f aca="false">IF(T29=0,"",_xlfn.MAXIFS('Call Log'!$A:$A,'Call Log'!$B:$B,A29))</f>
        <v/>
      </c>
      <c r="V29" s="25"/>
      <c r="W29" s="26"/>
      <c r="X29" s="22"/>
    </row>
    <row r="30" customFormat="false" ht="61.15" hidden="false" customHeight="false" outlineLevel="0" collapsed="false">
      <c r="A30" s="27" t="s">
        <v>285</v>
      </c>
      <c r="B30" s="27" t="s">
        <v>21</v>
      </c>
      <c r="C30" s="27" t="s">
        <v>286</v>
      </c>
      <c r="D30" s="27" t="s">
        <v>287</v>
      </c>
      <c r="E30" s="27" t="s">
        <v>288</v>
      </c>
      <c r="F30" s="27" t="s">
        <v>289</v>
      </c>
      <c r="G30" s="27" t="s">
        <v>75</v>
      </c>
      <c r="H30" s="27" t="s">
        <v>241</v>
      </c>
      <c r="I30" s="27" t="s">
        <v>75</v>
      </c>
      <c r="J30" s="27" t="s">
        <v>75</v>
      </c>
      <c r="K30" s="27" t="s">
        <v>75</v>
      </c>
      <c r="L30" s="28" t="s">
        <v>290</v>
      </c>
      <c r="M30" s="27" t="s">
        <v>77</v>
      </c>
      <c r="N30" s="27" t="s">
        <v>75</v>
      </c>
      <c r="O30" s="27" t="s">
        <v>167</v>
      </c>
      <c r="P30" s="28" t="s">
        <v>291</v>
      </c>
      <c r="Q30" s="27" t="s">
        <v>292</v>
      </c>
      <c r="R30" s="29" t="s">
        <v>246</v>
      </c>
      <c r="S30" s="22" t="s">
        <v>37</v>
      </c>
      <c r="T30" s="30" t="n">
        <f aca="false">COUNTIF('Call Log'!$B:$B,A30)</f>
        <v>0</v>
      </c>
      <c r="U30" s="31" t="str">
        <f aca="false">IF(T30=0,"",_xlfn.MAXIFS('Call Log'!$A:$A,'Call Log'!$B:$B,A30))</f>
        <v/>
      </c>
      <c r="V30" s="25"/>
      <c r="W30" s="26"/>
      <c r="X30" s="22"/>
    </row>
    <row r="31" customFormat="false" ht="49.25" hidden="false" customHeight="false" outlineLevel="0" collapsed="false">
      <c r="A31" s="19" t="s">
        <v>293</v>
      </c>
      <c r="B31" s="19" t="s">
        <v>23</v>
      </c>
      <c r="C31" s="19" t="s">
        <v>294</v>
      </c>
      <c r="D31" s="19" t="s">
        <v>295</v>
      </c>
      <c r="E31" s="19" t="s">
        <v>160</v>
      </c>
      <c r="F31" s="19" t="s">
        <v>296</v>
      </c>
      <c r="G31" s="19" t="s">
        <v>297</v>
      </c>
      <c r="H31" s="19" t="s">
        <v>112</v>
      </c>
      <c r="I31" s="19" t="s">
        <v>298</v>
      </c>
      <c r="J31" s="19" t="s">
        <v>75</v>
      </c>
      <c r="K31" s="19" t="s">
        <v>299</v>
      </c>
      <c r="L31" s="20" t="s">
        <v>300</v>
      </c>
      <c r="M31" s="19" t="s">
        <v>77</v>
      </c>
      <c r="N31" s="19" t="s">
        <v>75</v>
      </c>
      <c r="O31" s="19" t="s">
        <v>301</v>
      </c>
      <c r="P31" s="20" t="s">
        <v>302</v>
      </c>
      <c r="Q31" s="19" t="s">
        <v>303</v>
      </c>
      <c r="R31" s="21" t="s">
        <v>82</v>
      </c>
      <c r="S31" s="22" t="s">
        <v>37</v>
      </c>
      <c r="T31" s="23" t="n">
        <f aca="false">COUNTIF('Call Log'!$B:$B,A31)</f>
        <v>0</v>
      </c>
      <c r="U31" s="24" t="str">
        <f aca="false">IF(T31=0,"",_xlfn.MAXIFS('Call Log'!$A:$A,'Call Log'!$B:$B,A31))</f>
        <v/>
      </c>
      <c r="V31" s="25"/>
      <c r="W31" s="26"/>
      <c r="X31" s="22"/>
    </row>
    <row r="32" customFormat="false" ht="61.15" hidden="false" customHeight="false" outlineLevel="0" collapsed="false">
      <c r="A32" s="27" t="s">
        <v>304</v>
      </c>
      <c r="B32" s="27" t="s">
        <v>23</v>
      </c>
      <c r="C32" s="27" t="s">
        <v>305</v>
      </c>
      <c r="D32" s="27" t="s">
        <v>69</v>
      </c>
      <c r="E32" s="27" t="s">
        <v>70</v>
      </c>
      <c r="F32" s="27" t="s">
        <v>306</v>
      </c>
      <c r="G32" s="27" t="s">
        <v>307</v>
      </c>
      <c r="H32" s="27" t="s">
        <v>112</v>
      </c>
      <c r="I32" s="27" t="s">
        <v>308</v>
      </c>
      <c r="J32" s="27" t="s">
        <v>75</v>
      </c>
      <c r="K32" s="27" t="s">
        <v>309</v>
      </c>
      <c r="L32" s="28" t="s">
        <v>310</v>
      </c>
      <c r="M32" s="27" t="s">
        <v>77</v>
      </c>
      <c r="N32" s="27" t="s">
        <v>75</v>
      </c>
      <c r="O32" s="27" t="s">
        <v>167</v>
      </c>
      <c r="P32" s="28" t="s">
        <v>311</v>
      </c>
      <c r="Q32" s="27" t="s">
        <v>312</v>
      </c>
      <c r="R32" s="29" t="s">
        <v>82</v>
      </c>
      <c r="S32" s="22" t="s">
        <v>37</v>
      </c>
      <c r="T32" s="30" t="n">
        <f aca="false">COUNTIF('Call Log'!$B:$B,A32)</f>
        <v>0</v>
      </c>
      <c r="U32" s="31" t="str">
        <f aca="false">IF(T32=0,"",_xlfn.MAXIFS('Call Log'!$A:$A,'Call Log'!$B:$B,A32))</f>
        <v/>
      </c>
      <c r="V32" s="25"/>
      <c r="W32" s="26"/>
      <c r="X32" s="22"/>
    </row>
    <row r="33" customFormat="false" ht="61.15" hidden="false" customHeight="false" outlineLevel="0" collapsed="false">
      <c r="A33" s="19" t="s">
        <v>313</v>
      </c>
      <c r="B33" s="19" t="s">
        <v>23</v>
      </c>
      <c r="C33" s="19" t="s">
        <v>314</v>
      </c>
      <c r="D33" s="19" t="s">
        <v>315</v>
      </c>
      <c r="E33" s="19" t="s">
        <v>289</v>
      </c>
      <c r="F33" s="19" t="s">
        <v>289</v>
      </c>
      <c r="G33" s="19" t="s">
        <v>75</v>
      </c>
      <c r="H33" s="19" t="s">
        <v>241</v>
      </c>
      <c r="I33" s="19" t="s">
        <v>75</v>
      </c>
      <c r="J33" s="19" t="s">
        <v>75</v>
      </c>
      <c r="K33" s="19" t="s">
        <v>75</v>
      </c>
      <c r="L33" s="19" t="s">
        <v>75</v>
      </c>
      <c r="M33" s="19" t="s">
        <v>88</v>
      </c>
      <c r="N33" s="19" t="s">
        <v>75</v>
      </c>
      <c r="O33" s="19" t="s">
        <v>316</v>
      </c>
      <c r="P33" s="20" t="s">
        <v>317</v>
      </c>
      <c r="Q33" s="19" t="s">
        <v>318</v>
      </c>
      <c r="R33" s="21" t="s">
        <v>246</v>
      </c>
      <c r="S33" s="22" t="s">
        <v>37</v>
      </c>
      <c r="T33" s="23" t="n">
        <f aca="false">COUNTIF('Call Log'!$B:$B,A33)</f>
        <v>0</v>
      </c>
      <c r="U33" s="24" t="str">
        <f aca="false">IF(T33=0,"",_xlfn.MAXIFS('Call Log'!$A:$A,'Call Log'!$B:$B,A33))</f>
        <v/>
      </c>
      <c r="V33" s="25"/>
      <c r="W33" s="26"/>
      <c r="X33" s="22"/>
    </row>
    <row r="34" customFormat="false" ht="61.15" hidden="false" customHeight="false" outlineLevel="0" collapsed="false">
      <c r="A34" s="27" t="s">
        <v>319</v>
      </c>
      <c r="B34" s="27" t="s">
        <v>23</v>
      </c>
      <c r="C34" s="27" t="s">
        <v>320</v>
      </c>
      <c r="D34" s="27" t="s">
        <v>69</v>
      </c>
      <c r="E34" s="27" t="s">
        <v>321</v>
      </c>
      <c r="F34" s="27" t="s">
        <v>322</v>
      </c>
      <c r="G34" s="27" t="s">
        <v>75</v>
      </c>
      <c r="H34" s="27" t="s">
        <v>241</v>
      </c>
      <c r="I34" s="27" t="s">
        <v>75</v>
      </c>
      <c r="J34" s="27" t="s">
        <v>75</v>
      </c>
      <c r="K34" s="27" t="s">
        <v>75</v>
      </c>
      <c r="L34" s="27" t="s">
        <v>75</v>
      </c>
      <c r="M34" s="27" t="s">
        <v>88</v>
      </c>
      <c r="N34" s="27" t="s">
        <v>75</v>
      </c>
      <c r="O34" s="27" t="s">
        <v>323</v>
      </c>
      <c r="P34" s="28" t="s">
        <v>324</v>
      </c>
      <c r="Q34" s="27" t="s">
        <v>325</v>
      </c>
      <c r="R34" s="29" t="s">
        <v>246</v>
      </c>
      <c r="S34" s="22" t="s">
        <v>37</v>
      </c>
      <c r="T34" s="30" t="n">
        <f aca="false">COUNTIF('Call Log'!$B:$B,A34)</f>
        <v>0</v>
      </c>
      <c r="U34" s="31" t="str">
        <f aca="false">IF(T34=0,"",_xlfn.MAXIFS('Call Log'!$A:$A,'Call Log'!$B:$B,A34))</f>
        <v/>
      </c>
      <c r="V34" s="25"/>
      <c r="W34" s="26"/>
      <c r="X34" s="22"/>
    </row>
    <row r="35" customFormat="false" ht="49.25" hidden="false" customHeight="false" outlineLevel="0" collapsed="false">
      <c r="A35" s="19" t="s">
        <v>326</v>
      </c>
      <c r="B35" s="19" t="s">
        <v>23</v>
      </c>
      <c r="C35" s="19" t="s">
        <v>327</v>
      </c>
      <c r="D35" s="19" t="s">
        <v>69</v>
      </c>
      <c r="E35" s="19" t="s">
        <v>328</v>
      </c>
      <c r="F35" s="19" t="s">
        <v>329</v>
      </c>
      <c r="G35" s="19" t="s">
        <v>330</v>
      </c>
      <c r="H35" s="19" t="s">
        <v>112</v>
      </c>
      <c r="I35" s="19" t="s">
        <v>331</v>
      </c>
      <c r="J35" s="19" t="s">
        <v>75</v>
      </c>
      <c r="K35" s="19" t="s">
        <v>75</v>
      </c>
      <c r="L35" s="19" t="s">
        <v>75</v>
      </c>
      <c r="M35" s="19" t="s">
        <v>88</v>
      </c>
      <c r="N35" s="19" t="s">
        <v>75</v>
      </c>
      <c r="O35" s="19" t="s">
        <v>332</v>
      </c>
      <c r="P35" s="20" t="s">
        <v>333</v>
      </c>
      <c r="Q35" s="19" t="s">
        <v>334</v>
      </c>
      <c r="R35" s="21" t="s">
        <v>148</v>
      </c>
      <c r="S35" s="22" t="s">
        <v>37</v>
      </c>
      <c r="T35" s="23" t="n">
        <f aca="false">COUNTIF('Call Log'!$B:$B,A35)</f>
        <v>0</v>
      </c>
      <c r="U35" s="24" t="str">
        <f aca="false">IF(T35=0,"",_xlfn.MAXIFS('Call Log'!$A:$A,'Call Log'!$B:$B,A35))</f>
        <v/>
      </c>
      <c r="V35" s="25"/>
      <c r="W35" s="26"/>
      <c r="X35" s="22"/>
    </row>
    <row r="36" customFormat="false" ht="37.3" hidden="false" customHeight="false" outlineLevel="0" collapsed="false">
      <c r="A36" s="27" t="s">
        <v>335</v>
      </c>
      <c r="B36" s="27" t="s">
        <v>23</v>
      </c>
      <c r="C36" s="27" t="s">
        <v>336</v>
      </c>
      <c r="D36" s="27" t="s">
        <v>69</v>
      </c>
      <c r="E36" s="27" t="s">
        <v>289</v>
      </c>
      <c r="F36" s="27" t="s">
        <v>289</v>
      </c>
      <c r="G36" s="27" t="s">
        <v>75</v>
      </c>
      <c r="H36" s="27" t="s">
        <v>241</v>
      </c>
      <c r="I36" s="27" t="s">
        <v>75</v>
      </c>
      <c r="J36" s="27" t="s">
        <v>75</v>
      </c>
      <c r="K36" s="27" t="s">
        <v>75</v>
      </c>
      <c r="L36" s="27" t="s">
        <v>75</v>
      </c>
      <c r="M36" s="27" t="s">
        <v>88</v>
      </c>
      <c r="N36" s="27" t="s">
        <v>75</v>
      </c>
      <c r="O36" s="27" t="s">
        <v>323</v>
      </c>
      <c r="P36" s="28" t="s">
        <v>337</v>
      </c>
      <c r="Q36" s="27" t="s">
        <v>338</v>
      </c>
      <c r="R36" s="29" t="s">
        <v>246</v>
      </c>
      <c r="S36" s="22" t="s">
        <v>37</v>
      </c>
      <c r="T36" s="30" t="n">
        <f aca="false">COUNTIF('Call Log'!$B:$B,A36)</f>
        <v>0</v>
      </c>
      <c r="U36" s="31" t="str">
        <f aca="false">IF(T36=0,"",_xlfn.MAXIFS('Call Log'!$A:$A,'Call Log'!$B:$B,A36))</f>
        <v/>
      </c>
      <c r="V36" s="25"/>
      <c r="W36" s="26"/>
      <c r="X36" s="22"/>
    </row>
    <row r="37" customFormat="false" ht="37.3" hidden="false" customHeight="false" outlineLevel="0" collapsed="false">
      <c r="A37" s="19" t="s">
        <v>339</v>
      </c>
      <c r="B37" s="19" t="s">
        <v>23</v>
      </c>
      <c r="C37" s="19" t="s">
        <v>340</v>
      </c>
      <c r="D37" s="19" t="s">
        <v>69</v>
      </c>
      <c r="E37" s="19" t="s">
        <v>289</v>
      </c>
      <c r="F37" s="19" t="s">
        <v>289</v>
      </c>
      <c r="G37" s="19" t="s">
        <v>75</v>
      </c>
      <c r="H37" s="19" t="s">
        <v>241</v>
      </c>
      <c r="I37" s="19" t="s">
        <v>75</v>
      </c>
      <c r="J37" s="19" t="s">
        <v>75</v>
      </c>
      <c r="K37" s="19" t="s">
        <v>75</v>
      </c>
      <c r="L37" s="19" t="s">
        <v>75</v>
      </c>
      <c r="M37" s="19" t="s">
        <v>88</v>
      </c>
      <c r="N37" s="19" t="s">
        <v>75</v>
      </c>
      <c r="O37" s="19" t="s">
        <v>323</v>
      </c>
      <c r="P37" s="20" t="s">
        <v>341</v>
      </c>
      <c r="Q37" s="19" t="s">
        <v>338</v>
      </c>
      <c r="R37" s="21" t="s">
        <v>246</v>
      </c>
      <c r="S37" s="22" t="s">
        <v>37</v>
      </c>
      <c r="T37" s="23" t="n">
        <f aca="false">COUNTIF('Call Log'!$B:$B,A37)</f>
        <v>0</v>
      </c>
      <c r="U37" s="24" t="str">
        <f aca="false">IF(T37=0,"",_xlfn.MAXIFS('Call Log'!$A:$A,'Call Log'!$B:$B,A37))</f>
        <v/>
      </c>
      <c r="V37" s="25"/>
      <c r="W37" s="26"/>
      <c r="X37" s="22"/>
    </row>
    <row r="38" customFormat="false" ht="37.3" hidden="false" customHeight="false" outlineLevel="0" collapsed="false">
      <c r="A38" s="27" t="s">
        <v>342</v>
      </c>
      <c r="B38" s="27" t="s">
        <v>23</v>
      </c>
      <c r="C38" s="27" t="s">
        <v>343</v>
      </c>
      <c r="D38" s="27" t="s">
        <v>69</v>
      </c>
      <c r="E38" s="27" t="s">
        <v>344</v>
      </c>
      <c r="F38" s="27" t="s">
        <v>345</v>
      </c>
      <c r="G38" s="27" t="s">
        <v>75</v>
      </c>
      <c r="H38" s="27" t="s">
        <v>241</v>
      </c>
      <c r="I38" s="27" t="s">
        <v>75</v>
      </c>
      <c r="J38" s="27" t="s">
        <v>75</v>
      </c>
      <c r="K38" s="27" t="s">
        <v>75</v>
      </c>
      <c r="L38" s="27" t="s">
        <v>75</v>
      </c>
      <c r="M38" s="27" t="s">
        <v>88</v>
      </c>
      <c r="N38" s="27" t="s">
        <v>75</v>
      </c>
      <c r="O38" s="27" t="s">
        <v>323</v>
      </c>
      <c r="P38" s="28" t="s">
        <v>346</v>
      </c>
      <c r="Q38" s="27" t="s">
        <v>338</v>
      </c>
      <c r="R38" s="29" t="s">
        <v>246</v>
      </c>
      <c r="S38" s="22" t="s">
        <v>37</v>
      </c>
      <c r="T38" s="30" t="n">
        <f aca="false">COUNTIF('Call Log'!$B:$B,A38)</f>
        <v>0</v>
      </c>
      <c r="U38" s="31" t="str">
        <f aca="false">IF(T38=0,"",_xlfn.MAXIFS('Call Log'!$A:$A,'Call Log'!$B:$B,A38))</f>
        <v/>
      </c>
      <c r="V38" s="25"/>
      <c r="W38" s="26"/>
      <c r="X38" s="22"/>
    </row>
    <row r="39" customFormat="false" ht="49.25" hidden="false" customHeight="false" outlineLevel="0" collapsed="false">
      <c r="A39" s="19" t="s">
        <v>347</v>
      </c>
      <c r="B39" s="19" t="s">
        <v>23</v>
      </c>
      <c r="C39" s="19" t="s">
        <v>348</v>
      </c>
      <c r="D39" s="19" t="s">
        <v>69</v>
      </c>
      <c r="E39" s="19" t="s">
        <v>289</v>
      </c>
      <c r="F39" s="19" t="s">
        <v>289</v>
      </c>
      <c r="G39" s="19" t="s">
        <v>75</v>
      </c>
      <c r="H39" s="19" t="s">
        <v>241</v>
      </c>
      <c r="I39" s="19" t="s">
        <v>75</v>
      </c>
      <c r="J39" s="19" t="s">
        <v>75</v>
      </c>
      <c r="K39" s="19" t="s">
        <v>75</v>
      </c>
      <c r="L39" s="19" t="s">
        <v>75</v>
      </c>
      <c r="M39" s="19" t="s">
        <v>88</v>
      </c>
      <c r="N39" s="19" t="s">
        <v>75</v>
      </c>
      <c r="O39" s="19" t="s">
        <v>349</v>
      </c>
      <c r="P39" s="20" t="s">
        <v>350</v>
      </c>
      <c r="Q39" s="19" t="s">
        <v>351</v>
      </c>
      <c r="R39" s="21" t="s">
        <v>246</v>
      </c>
      <c r="S39" s="22" t="s">
        <v>37</v>
      </c>
      <c r="T39" s="23" t="n">
        <f aca="false">COUNTIF('Call Log'!$B:$B,A39)</f>
        <v>0</v>
      </c>
      <c r="U39" s="24" t="str">
        <f aca="false">IF(T39=0,"",_xlfn.MAXIFS('Call Log'!$A:$A,'Call Log'!$B:$B,A39))</f>
        <v/>
      </c>
      <c r="V39" s="25"/>
      <c r="W39" s="26"/>
      <c r="X39" s="22"/>
    </row>
    <row r="40" customFormat="false" ht="61.15" hidden="false" customHeight="false" outlineLevel="0" collapsed="false">
      <c r="A40" s="27" t="s">
        <v>352</v>
      </c>
      <c r="B40" s="27" t="s">
        <v>23</v>
      </c>
      <c r="C40" s="27" t="s">
        <v>353</v>
      </c>
      <c r="D40" s="27" t="s">
        <v>69</v>
      </c>
      <c r="E40" s="27" t="s">
        <v>354</v>
      </c>
      <c r="F40" s="27" t="s">
        <v>355</v>
      </c>
      <c r="G40" s="27" t="s">
        <v>75</v>
      </c>
      <c r="H40" s="27" t="s">
        <v>241</v>
      </c>
      <c r="I40" s="27" t="s">
        <v>75</v>
      </c>
      <c r="J40" s="27" t="s">
        <v>75</v>
      </c>
      <c r="K40" s="27" t="s">
        <v>75</v>
      </c>
      <c r="L40" s="27" t="s">
        <v>75</v>
      </c>
      <c r="M40" s="27" t="s">
        <v>88</v>
      </c>
      <c r="N40" s="27" t="s">
        <v>356</v>
      </c>
      <c r="O40" s="27" t="s">
        <v>90</v>
      </c>
      <c r="P40" s="28" t="s">
        <v>357</v>
      </c>
      <c r="Q40" s="27" t="s">
        <v>358</v>
      </c>
      <c r="R40" s="29" t="s">
        <v>246</v>
      </c>
      <c r="S40" s="22" t="s">
        <v>37</v>
      </c>
      <c r="T40" s="30" t="n">
        <f aca="false">COUNTIF('Call Log'!$B:$B,A40)</f>
        <v>0</v>
      </c>
      <c r="U40" s="31" t="str">
        <f aca="false">IF(T40=0,"",_xlfn.MAXIFS('Call Log'!$A:$A,'Call Log'!$B:$B,A40))</f>
        <v/>
      </c>
      <c r="V40" s="25"/>
      <c r="W40" s="26"/>
      <c r="X40" s="22"/>
    </row>
    <row r="41" customFormat="false" ht="49.25" hidden="false" customHeight="false" outlineLevel="0" collapsed="false">
      <c r="A41" s="19" t="s">
        <v>359</v>
      </c>
      <c r="B41" s="19" t="s">
        <v>23</v>
      </c>
      <c r="C41" s="19" t="s">
        <v>360</v>
      </c>
      <c r="D41" s="19" t="s">
        <v>69</v>
      </c>
      <c r="E41" s="19" t="s">
        <v>321</v>
      </c>
      <c r="F41" s="19" t="s">
        <v>361</v>
      </c>
      <c r="G41" s="19" t="s">
        <v>75</v>
      </c>
      <c r="H41" s="19" t="s">
        <v>241</v>
      </c>
      <c r="I41" s="19" t="s">
        <v>75</v>
      </c>
      <c r="J41" s="19" t="s">
        <v>75</v>
      </c>
      <c r="K41" s="19" t="s">
        <v>75</v>
      </c>
      <c r="L41" s="19" t="s">
        <v>75</v>
      </c>
      <c r="M41" s="19" t="s">
        <v>88</v>
      </c>
      <c r="N41" s="19" t="s">
        <v>75</v>
      </c>
      <c r="O41" s="19" t="s">
        <v>323</v>
      </c>
      <c r="P41" s="20" t="s">
        <v>362</v>
      </c>
      <c r="Q41" s="19" t="s">
        <v>363</v>
      </c>
      <c r="R41" s="21" t="s">
        <v>246</v>
      </c>
      <c r="S41" s="22" t="s">
        <v>37</v>
      </c>
      <c r="T41" s="23" t="n">
        <f aca="false">COUNTIF('Call Log'!$B:$B,A41)</f>
        <v>0</v>
      </c>
      <c r="U41" s="24" t="str">
        <f aca="false">IF(T41=0,"",_xlfn.MAXIFS('Call Log'!$A:$A,'Call Log'!$B:$B,A41))</f>
        <v/>
      </c>
      <c r="V41" s="25"/>
      <c r="W41" s="26"/>
      <c r="X41" s="22"/>
    </row>
    <row r="42" customFormat="false" ht="37.3" hidden="false" customHeight="false" outlineLevel="0" collapsed="false">
      <c r="A42" s="27" t="s">
        <v>364</v>
      </c>
      <c r="B42" s="27" t="s">
        <v>23</v>
      </c>
      <c r="C42" s="27" t="s">
        <v>365</v>
      </c>
      <c r="D42" s="27" t="s">
        <v>69</v>
      </c>
      <c r="E42" s="27" t="s">
        <v>289</v>
      </c>
      <c r="F42" s="27" t="s">
        <v>289</v>
      </c>
      <c r="G42" s="27" t="s">
        <v>75</v>
      </c>
      <c r="H42" s="27" t="s">
        <v>241</v>
      </c>
      <c r="I42" s="27" t="s">
        <v>75</v>
      </c>
      <c r="J42" s="27" t="s">
        <v>75</v>
      </c>
      <c r="K42" s="27" t="s">
        <v>75</v>
      </c>
      <c r="L42" s="27" t="s">
        <v>75</v>
      </c>
      <c r="M42" s="27" t="s">
        <v>88</v>
      </c>
      <c r="N42" s="27" t="s">
        <v>75</v>
      </c>
      <c r="O42" s="27" t="s">
        <v>323</v>
      </c>
      <c r="P42" s="28" t="s">
        <v>362</v>
      </c>
      <c r="Q42" s="27" t="s">
        <v>338</v>
      </c>
      <c r="R42" s="29" t="s">
        <v>246</v>
      </c>
      <c r="S42" s="22" t="s">
        <v>37</v>
      </c>
      <c r="T42" s="30" t="n">
        <f aca="false">COUNTIF('Call Log'!$B:$B,A42)</f>
        <v>0</v>
      </c>
      <c r="U42" s="31" t="str">
        <f aca="false">IF(T42=0,"",_xlfn.MAXIFS('Call Log'!$A:$A,'Call Log'!$B:$B,A42))</f>
        <v/>
      </c>
      <c r="V42" s="25"/>
      <c r="W42" s="26"/>
      <c r="X42" s="22"/>
    </row>
    <row r="43" customFormat="false" ht="61.15" hidden="false" customHeight="false" outlineLevel="0" collapsed="false">
      <c r="A43" s="19" t="s">
        <v>366</v>
      </c>
      <c r="B43" s="19" t="s">
        <v>26</v>
      </c>
      <c r="C43" s="19" t="s">
        <v>367</v>
      </c>
      <c r="D43" s="19" t="s">
        <v>69</v>
      </c>
      <c r="E43" s="19" t="s">
        <v>368</v>
      </c>
      <c r="F43" s="19" t="s">
        <v>369</v>
      </c>
      <c r="G43" s="19" t="s">
        <v>370</v>
      </c>
      <c r="H43" s="19" t="s">
        <v>163</v>
      </c>
      <c r="I43" s="19" t="s">
        <v>371</v>
      </c>
      <c r="J43" s="19" t="s">
        <v>371</v>
      </c>
      <c r="K43" s="19" t="s">
        <v>75</v>
      </c>
      <c r="L43" s="19" t="s">
        <v>75</v>
      </c>
      <c r="M43" s="19" t="s">
        <v>88</v>
      </c>
      <c r="N43" s="19" t="s">
        <v>75</v>
      </c>
      <c r="O43" s="19" t="s">
        <v>372</v>
      </c>
      <c r="P43" s="20" t="s">
        <v>373</v>
      </c>
      <c r="Q43" s="19" t="s">
        <v>374</v>
      </c>
      <c r="R43" s="21" t="s">
        <v>148</v>
      </c>
      <c r="S43" s="22" t="s">
        <v>37</v>
      </c>
      <c r="T43" s="23" t="n">
        <f aca="false">COUNTIF('Call Log'!$B:$B,A43)</f>
        <v>0</v>
      </c>
      <c r="U43" s="24" t="str">
        <f aca="false">IF(T43=0,"",_xlfn.MAXIFS('Call Log'!$A:$A,'Call Log'!$B:$B,A43))</f>
        <v/>
      </c>
      <c r="V43" s="25"/>
      <c r="W43" s="26"/>
      <c r="X43" s="22"/>
    </row>
    <row r="44" customFormat="false" ht="49.25" hidden="false" customHeight="false" outlineLevel="0" collapsed="false">
      <c r="A44" s="27" t="s">
        <v>375</v>
      </c>
      <c r="B44" s="27" t="s">
        <v>26</v>
      </c>
      <c r="C44" s="27" t="s">
        <v>376</v>
      </c>
      <c r="D44" s="27" t="s">
        <v>69</v>
      </c>
      <c r="E44" s="27" t="s">
        <v>377</v>
      </c>
      <c r="F44" s="27" t="s">
        <v>378</v>
      </c>
      <c r="G44" s="27" t="s">
        <v>379</v>
      </c>
      <c r="H44" s="27" t="s">
        <v>380</v>
      </c>
      <c r="I44" s="27" t="s">
        <v>381</v>
      </c>
      <c r="J44" s="27" t="s">
        <v>75</v>
      </c>
      <c r="K44" s="27" t="s">
        <v>75</v>
      </c>
      <c r="L44" s="27" t="s">
        <v>75</v>
      </c>
      <c r="M44" s="27" t="s">
        <v>88</v>
      </c>
      <c r="N44" s="27" t="s">
        <v>75</v>
      </c>
      <c r="O44" s="27" t="s">
        <v>323</v>
      </c>
      <c r="P44" s="28" t="s">
        <v>382</v>
      </c>
      <c r="Q44" s="27" t="s">
        <v>383</v>
      </c>
      <c r="R44" s="29" t="s">
        <v>82</v>
      </c>
      <c r="S44" s="22" t="s">
        <v>37</v>
      </c>
      <c r="T44" s="30" t="n">
        <f aca="false">COUNTIF('Call Log'!$B:$B,A44)</f>
        <v>0</v>
      </c>
      <c r="U44" s="31" t="str">
        <f aca="false">IF(T44=0,"",_xlfn.MAXIFS('Call Log'!$A:$A,'Call Log'!$B:$B,A44))</f>
        <v/>
      </c>
      <c r="V44" s="25"/>
      <c r="W44" s="26"/>
      <c r="X44" s="22"/>
    </row>
    <row r="45" customFormat="false" ht="61.15" hidden="false" customHeight="false" outlineLevel="0" collapsed="false">
      <c r="A45" s="19" t="s">
        <v>384</v>
      </c>
      <c r="B45" s="19" t="s">
        <v>26</v>
      </c>
      <c r="C45" s="19" t="s">
        <v>385</v>
      </c>
      <c r="D45" s="19" t="s">
        <v>69</v>
      </c>
      <c r="E45" s="19" t="s">
        <v>386</v>
      </c>
      <c r="F45" s="19" t="s">
        <v>387</v>
      </c>
      <c r="G45" s="19" t="s">
        <v>388</v>
      </c>
      <c r="H45" s="19" t="s">
        <v>380</v>
      </c>
      <c r="I45" s="19" t="s">
        <v>381</v>
      </c>
      <c r="J45" s="19" t="s">
        <v>75</v>
      </c>
      <c r="K45" s="19" t="s">
        <v>75</v>
      </c>
      <c r="L45" s="19" t="s">
        <v>75</v>
      </c>
      <c r="M45" s="19" t="s">
        <v>88</v>
      </c>
      <c r="N45" s="19" t="s">
        <v>75</v>
      </c>
      <c r="O45" s="19" t="s">
        <v>323</v>
      </c>
      <c r="P45" s="20" t="s">
        <v>389</v>
      </c>
      <c r="Q45" s="19" t="s">
        <v>390</v>
      </c>
      <c r="R45" s="21" t="s">
        <v>82</v>
      </c>
      <c r="S45" s="22" t="s">
        <v>37</v>
      </c>
      <c r="T45" s="23" t="n">
        <f aca="false">COUNTIF('Call Log'!$B:$B,A45)</f>
        <v>0</v>
      </c>
      <c r="U45" s="24" t="str">
        <f aca="false">IF(T45=0,"",_xlfn.MAXIFS('Call Log'!$A:$A,'Call Log'!$B:$B,A45))</f>
        <v/>
      </c>
      <c r="V45" s="25"/>
      <c r="W45" s="26"/>
      <c r="X45" s="22"/>
    </row>
    <row r="46" customFormat="false" ht="49.25" hidden="false" customHeight="false" outlineLevel="0" collapsed="false">
      <c r="A46" s="27" t="s">
        <v>391</v>
      </c>
      <c r="B46" s="27" t="s">
        <v>26</v>
      </c>
      <c r="C46" s="27" t="s">
        <v>392</v>
      </c>
      <c r="D46" s="27" t="s">
        <v>69</v>
      </c>
      <c r="E46" s="27" t="s">
        <v>70</v>
      </c>
      <c r="F46" s="27" t="s">
        <v>393</v>
      </c>
      <c r="G46" s="27" t="s">
        <v>394</v>
      </c>
      <c r="H46" s="27" t="s">
        <v>380</v>
      </c>
      <c r="I46" s="27" t="s">
        <v>381</v>
      </c>
      <c r="J46" s="27" t="s">
        <v>75</v>
      </c>
      <c r="K46" s="27" t="s">
        <v>75</v>
      </c>
      <c r="L46" s="27" t="s">
        <v>75</v>
      </c>
      <c r="M46" s="27" t="s">
        <v>88</v>
      </c>
      <c r="N46" s="27" t="s">
        <v>75</v>
      </c>
      <c r="O46" s="27" t="s">
        <v>323</v>
      </c>
      <c r="P46" s="28" t="s">
        <v>382</v>
      </c>
      <c r="Q46" s="27" t="s">
        <v>395</v>
      </c>
      <c r="R46" s="29" t="s">
        <v>82</v>
      </c>
      <c r="S46" s="22" t="s">
        <v>37</v>
      </c>
      <c r="T46" s="30" t="n">
        <f aca="false">COUNTIF('Call Log'!$B:$B,A46)</f>
        <v>0</v>
      </c>
      <c r="U46" s="31" t="str">
        <f aca="false">IF(T46=0,"",_xlfn.MAXIFS('Call Log'!$A:$A,'Call Log'!$B:$B,A46))</f>
        <v/>
      </c>
      <c r="V46" s="25"/>
      <c r="W46" s="26"/>
      <c r="X46" s="22"/>
    </row>
    <row r="47" customFormat="false" ht="49.25" hidden="false" customHeight="false" outlineLevel="0" collapsed="false">
      <c r="A47" s="19" t="s">
        <v>396</v>
      </c>
      <c r="B47" s="19" t="s">
        <v>26</v>
      </c>
      <c r="C47" s="19" t="s">
        <v>397</v>
      </c>
      <c r="D47" s="19" t="s">
        <v>69</v>
      </c>
      <c r="E47" s="19" t="s">
        <v>344</v>
      </c>
      <c r="F47" s="19" t="s">
        <v>398</v>
      </c>
      <c r="G47" s="19" t="s">
        <v>399</v>
      </c>
      <c r="H47" s="19" t="s">
        <v>380</v>
      </c>
      <c r="I47" s="19" t="s">
        <v>381</v>
      </c>
      <c r="J47" s="19" t="s">
        <v>75</v>
      </c>
      <c r="K47" s="19" t="s">
        <v>75</v>
      </c>
      <c r="L47" s="19" t="s">
        <v>75</v>
      </c>
      <c r="M47" s="19" t="s">
        <v>88</v>
      </c>
      <c r="N47" s="19" t="s">
        <v>75</v>
      </c>
      <c r="O47" s="19" t="s">
        <v>323</v>
      </c>
      <c r="P47" s="20" t="s">
        <v>382</v>
      </c>
      <c r="Q47" s="19" t="s">
        <v>400</v>
      </c>
      <c r="R47" s="21" t="s">
        <v>82</v>
      </c>
      <c r="S47" s="22" t="s">
        <v>37</v>
      </c>
      <c r="T47" s="23" t="n">
        <f aca="false">COUNTIF('Call Log'!$B:$B,A47)</f>
        <v>0</v>
      </c>
      <c r="U47" s="24" t="str">
        <f aca="false">IF(T47=0,"",_xlfn.MAXIFS('Call Log'!$A:$A,'Call Log'!$B:$B,A47))</f>
        <v/>
      </c>
      <c r="V47" s="25"/>
      <c r="W47" s="26"/>
      <c r="X47" s="22"/>
    </row>
    <row r="48" customFormat="false" ht="49.25" hidden="false" customHeight="false" outlineLevel="0" collapsed="false">
      <c r="A48" s="27" t="s">
        <v>401</v>
      </c>
      <c r="B48" s="27" t="s">
        <v>26</v>
      </c>
      <c r="C48" s="27" t="s">
        <v>402</v>
      </c>
      <c r="D48" s="27" t="s">
        <v>69</v>
      </c>
      <c r="E48" s="27" t="s">
        <v>403</v>
      </c>
      <c r="F48" s="27" t="s">
        <v>404</v>
      </c>
      <c r="G48" s="27" t="s">
        <v>405</v>
      </c>
      <c r="H48" s="27" t="s">
        <v>112</v>
      </c>
      <c r="I48" s="27" t="s">
        <v>406</v>
      </c>
      <c r="J48" s="27" t="s">
        <v>75</v>
      </c>
      <c r="K48" s="27" t="s">
        <v>75</v>
      </c>
      <c r="L48" s="28" t="s">
        <v>407</v>
      </c>
      <c r="M48" s="27" t="s">
        <v>77</v>
      </c>
      <c r="N48" s="27" t="s">
        <v>75</v>
      </c>
      <c r="O48" s="27" t="s">
        <v>167</v>
      </c>
      <c r="P48" s="28" t="s">
        <v>408</v>
      </c>
      <c r="Q48" s="27" t="s">
        <v>409</v>
      </c>
      <c r="R48" s="29" t="s">
        <v>82</v>
      </c>
      <c r="S48" s="22" t="s">
        <v>37</v>
      </c>
      <c r="T48" s="30" t="n">
        <f aca="false">COUNTIF('Call Log'!$B:$B,A48)</f>
        <v>0</v>
      </c>
      <c r="U48" s="31" t="str">
        <f aca="false">IF(T48=0,"",_xlfn.MAXIFS('Call Log'!$A:$A,'Call Log'!$B:$B,A48))</f>
        <v/>
      </c>
      <c r="V48" s="25"/>
      <c r="W48" s="26"/>
      <c r="X48" s="22"/>
    </row>
    <row r="49" customFormat="false" ht="49.25" hidden="false" customHeight="false" outlineLevel="0" collapsed="false">
      <c r="A49" s="19" t="s">
        <v>410</v>
      </c>
      <c r="B49" s="19" t="s">
        <v>26</v>
      </c>
      <c r="C49" s="19" t="s">
        <v>411</v>
      </c>
      <c r="D49" s="19" t="s">
        <v>69</v>
      </c>
      <c r="E49" s="19" t="s">
        <v>377</v>
      </c>
      <c r="F49" s="19" t="s">
        <v>412</v>
      </c>
      <c r="G49" s="19" t="s">
        <v>413</v>
      </c>
      <c r="H49" s="19" t="s">
        <v>112</v>
      </c>
      <c r="I49" s="19" t="s">
        <v>414</v>
      </c>
      <c r="J49" s="19" t="s">
        <v>415</v>
      </c>
      <c r="K49" s="19" t="s">
        <v>416</v>
      </c>
      <c r="L49" s="20" t="s">
        <v>417</v>
      </c>
      <c r="M49" s="19" t="s">
        <v>77</v>
      </c>
      <c r="N49" s="19" t="s">
        <v>75</v>
      </c>
      <c r="O49" s="19" t="s">
        <v>167</v>
      </c>
      <c r="P49" s="20" t="s">
        <v>418</v>
      </c>
      <c r="Q49" s="19" t="s">
        <v>419</v>
      </c>
      <c r="R49" s="21" t="s">
        <v>82</v>
      </c>
      <c r="S49" s="22" t="s">
        <v>37</v>
      </c>
      <c r="T49" s="23" t="n">
        <f aca="false">COUNTIF('Call Log'!$B:$B,A49)</f>
        <v>0</v>
      </c>
      <c r="U49" s="24" t="str">
        <f aca="false">IF(T49=0,"",_xlfn.MAXIFS('Call Log'!$A:$A,'Call Log'!$B:$B,A49))</f>
        <v/>
      </c>
      <c r="V49" s="25"/>
      <c r="W49" s="26"/>
      <c r="X49" s="22"/>
    </row>
    <row r="50" customFormat="false" ht="49.25" hidden="false" customHeight="false" outlineLevel="0" collapsed="false">
      <c r="A50" s="27" t="s">
        <v>420</v>
      </c>
      <c r="B50" s="27" t="s">
        <v>26</v>
      </c>
      <c r="C50" s="27" t="s">
        <v>421</v>
      </c>
      <c r="D50" s="27" t="s">
        <v>69</v>
      </c>
      <c r="E50" s="27" t="s">
        <v>289</v>
      </c>
      <c r="F50" s="27" t="s">
        <v>289</v>
      </c>
      <c r="G50" s="27" t="s">
        <v>75</v>
      </c>
      <c r="H50" s="27" t="s">
        <v>241</v>
      </c>
      <c r="I50" s="27" t="s">
        <v>75</v>
      </c>
      <c r="J50" s="27" t="s">
        <v>75</v>
      </c>
      <c r="K50" s="27" t="s">
        <v>75</v>
      </c>
      <c r="L50" s="27" t="s">
        <v>75</v>
      </c>
      <c r="M50" s="27" t="s">
        <v>88</v>
      </c>
      <c r="N50" s="27" t="s">
        <v>75</v>
      </c>
      <c r="O50" s="27" t="s">
        <v>323</v>
      </c>
      <c r="P50" s="28" t="s">
        <v>422</v>
      </c>
      <c r="Q50" s="27" t="s">
        <v>423</v>
      </c>
      <c r="R50" s="29" t="s">
        <v>246</v>
      </c>
      <c r="S50" s="22" t="s">
        <v>37</v>
      </c>
      <c r="T50" s="30" t="n">
        <f aca="false">COUNTIF('Call Log'!$B:$B,A50)</f>
        <v>0</v>
      </c>
      <c r="U50" s="31" t="str">
        <f aca="false">IF(T50=0,"",_xlfn.MAXIFS('Call Log'!$A:$A,'Call Log'!$B:$B,A50))</f>
        <v/>
      </c>
      <c r="V50" s="25"/>
      <c r="W50" s="26"/>
      <c r="X50" s="22"/>
    </row>
    <row r="51" customFormat="false" ht="49.25" hidden="false" customHeight="false" outlineLevel="0" collapsed="false">
      <c r="A51" s="19" t="s">
        <v>424</v>
      </c>
      <c r="B51" s="19" t="s">
        <v>26</v>
      </c>
      <c r="C51" s="19" t="s">
        <v>425</v>
      </c>
      <c r="D51" s="19" t="s">
        <v>69</v>
      </c>
      <c r="E51" s="19" t="s">
        <v>289</v>
      </c>
      <c r="F51" s="19" t="s">
        <v>289</v>
      </c>
      <c r="G51" s="19" t="s">
        <v>75</v>
      </c>
      <c r="H51" s="19" t="s">
        <v>241</v>
      </c>
      <c r="I51" s="19" t="s">
        <v>75</v>
      </c>
      <c r="J51" s="19" t="s">
        <v>75</v>
      </c>
      <c r="K51" s="19" t="s">
        <v>75</v>
      </c>
      <c r="L51" s="19" t="s">
        <v>75</v>
      </c>
      <c r="M51" s="19" t="s">
        <v>88</v>
      </c>
      <c r="N51" s="19" t="s">
        <v>75</v>
      </c>
      <c r="O51" s="19" t="s">
        <v>323</v>
      </c>
      <c r="P51" s="20" t="s">
        <v>426</v>
      </c>
      <c r="Q51" s="19" t="s">
        <v>427</v>
      </c>
      <c r="R51" s="21" t="s">
        <v>246</v>
      </c>
      <c r="S51" s="22" t="s">
        <v>37</v>
      </c>
      <c r="T51" s="23" t="n">
        <f aca="false">COUNTIF('Call Log'!$B:$B,A51)</f>
        <v>0</v>
      </c>
      <c r="U51" s="24" t="str">
        <f aca="false">IF(T51=0,"",_xlfn.MAXIFS('Call Log'!$A:$A,'Call Log'!$B:$B,A51))</f>
        <v/>
      </c>
      <c r="V51" s="25"/>
      <c r="W51" s="26"/>
      <c r="X51" s="22"/>
    </row>
    <row r="52" customFormat="false" ht="49.25" hidden="false" customHeight="false" outlineLevel="0" collapsed="false">
      <c r="A52" s="27" t="s">
        <v>428</v>
      </c>
      <c r="B52" s="27" t="s">
        <v>26</v>
      </c>
      <c r="C52" s="27" t="s">
        <v>429</v>
      </c>
      <c r="D52" s="27" t="s">
        <v>69</v>
      </c>
      <c r="E52" s="27" t="s">
        <v>430</v>
      </c>
      <c r="F52" s="27" t="s">
        <v>431</v>
      </c>
      <c r="G52" s="27" t="s">
        <v>75</v>
      </c>
      <c r="H52" s="27" t="s">
        <v>241</v>
      </c>
      <c r="I52" s="27" t="s">
        <v>75</v>
      </c>
      <c r="J52" s="27" t="s">
        <v>75</v>
      </c>
      <c r="K52" s="27" t="s">
        <v>75</v>
      </c>
      <c r="L52" s="27" t="s">
        <v>75</v>
      </c>
      <c r="M52" s="27" t="s">
        <v>88</v>
      </c>
      <c r="N52" s="27" t="s">
        <v>75</v>
      </c>
      <c r="O52" s="27" t="s">
        <v>432</v>
      </c>
      <c r="P52" s="28" t="s">
        <v>433</v>
      </c>
      <c r="Q52" s="27" t="s">
        <v>434</v>
      </c>
      <c r="R52" s="29" t="s">
        <v>246</v>
      </c>
      <c r="S52" s="22" t="s">
        <v>37</v>
      </c>
      <c r="T52" s="30" t="n">
        <f aca="false">COUNTIF('Call Log'!$B:$B,A52)</f>
        <v>0</v>
      </c>
      <c r="U52" s="31" t="str">
        <f aca="false">IF(T52=0,"",_xlfn.MAXIFS('Call Log'!$A:$A,'Call Log'!$B:$B,A52))</f>
        <v/>
      </c>
      <c r="V52" s="25"/>
      <c r="W52" s="26"/>
      <c r="X52" s="22"/>
    </row>
    <row r="53" customFormat="false" ht="49.25" hidden="false" customHeight="false" outlineLevel="0" collapsed="false">
      <c r="A53" s="19" t="s">
        <v>435</v>
      </c>
      <c r="B53" s="19" t="s">
        <v>26</v>
      </c>
      <c r="C53" s="19" t="s">
        <v>436</v>
      </c>
      <c r="D53" s="19" t="s">
        <v>69</v>
      </c>
      <c r="E53" s="19" t="s">
        <v>289</v>
      </c>
      <c r="F53" s="19" t="s">
        <v>289</v>
      </c>
      <c r="G53" s="19" t="s">
        <v>75</v>
      </c>
      <c r="H53" s="19" t="s">
        <v>241</v>
      </c>
      <c r="I53" s="19" t="s">
        <v>75</v>
      </c>
      <c r="J53" s="19" t="s">
        <v>75</v>
      </c>
      <c r="K53" s="19" t="s">
        <v>75</v>
      </c>
      <c r="L53" s="19" t="s">
        <v>75</v>
      </c>
      <c r="M53" s="19" t="s">
        <v>88</v>
      </c>
      <c r="N53" s="19" t="s">
        <v>75</v>
      </c>
      <c r="O53" s="19" t="s">
        <v>437</v>
      </c>
      <c r="P53" s="20" t="s">
        <v>438</v>
      </c>
      <c r="Q53" s="19" t="s">
        <v>383</v>
      </c>
      <c r="R53" s="21" t="s">
        <v>246</v>
      </c>
      <c r="S53" s="22" t="s">
        <v>37</v>
      </c>
      <c r="T53" s="23" t="n">
        <f aca="false">COUNTIF('Call Log'!$B:$B,A53)</f>
        <v>0</v>
      </c>
      <c r="U53" s="24" t="str">
        <f aca="false">IF(T53=0,"",_xlfn.MAXIFS('Call Log'!$A:$A,'Call Log'!$B:$B,A53))</f>
        <v/>
      </c>
      <c r="V53" s="25"/>
      <c r="W53" s="26"/>
      <c r="X53" s="22"/>
    </row>
    <row r="54" customFormat="false" ht="49.25" hidden="false" customHeight="false" outlineLevel="0" collapsed="false">
      <c r="A54" s="27" t="s">
        <v>439</v>
      </c>
      <c r="B54" s="27" t="s">
        <v>26</v>
      </c>
      <c r="C54" s="27" t="s">
        <v>440</v>
      </c>
      <c r="D54" s="27" t="s">
        <v>69</v>
      </c>
      <c r="E54" s="27" t="s">
        <v>289</v>
      </c>
      <c r="F54" s="27" t="s">
        <v>289</v>
      </c>
      <c r="G54" s="27" t="s">
        <v>75</v>
      </c>
      <c r="H54" s="27" t="s">
        <v>241</v>
      </c>
      <c r="I54" s="27" t="s">
        <v>75</v>
      </c>
      <c r="J54" s="27" t="s">
        <v>75</v>
      </c>
      <c r="K54" s="27" t="s">
        <v>75</v>
      </c>
      <c r="L54" s="27" t="s">
        <v>75</v>
      </c>
      <c r="M54" s="27" t="s">
        <v>88</v>
      </c>
      <c r="N54" s="27" t="s">
        <v>75</v>
      </c>
      <c r="O54" s="27" t="s">
        <v>437</v>
      </c>
      <c r="P54" s="28" t="s">
        <v>438</v>
      </c>
      <c r="Q54" s="27" t="s">
        <v>383</v>
      </c>
      <c r="R54" s="29" t="s">
        <v>246</v>
      </c>
      <c r="S54" s="22" t="s">
        <v>37</v>
      </c>
      <c r="T54" s="30" t="n">
        <f aca="false">COUNTIF('Call Log'!$B:$B,A54)</f>
        <v>0</v>
      </c>
      <c r="U54" s="31" t="str">
        <f aca="false">IF(T54=0,"",_xlfn.MAXIFS('Call Log'!$A:$A,'Call Log'!$B:$B,A54))</f>
        <v/>
      </c>
      <c r="V54" s="25"/>
      <c r="W54" s="26"/>
      <c r="X54" s="22"/>
    </row>
    <row r="55" customFormat="false" ht="49.25" hidden="false" customHeight="false" outlineLevel="0" collapsed="false">
      <c r="A55" s="19" t="s">
        <v>441</v>
      </c>
      <c r="B55" s="19" t="s">
        <v>26</v>
      </c>
      <c r="C55" s="19" t="s">
        <v>442</v>
      </c>
      <c r="D55" s="19" t="s">
        <v>69</v>
      </c>
      <c r="E55" s="19" t="s">
        <v>289</v>
      </c>
      <c r="F55" s="19" t="s">
        <v>289</v>
      </c>
      <c r="G55" s="19" t="s">
        <v>75</v>
      </c>
      <c r="H55" s="19" t="s">
        <v>241</v>
      </c>
      <c r="I55" s="19" t="s">
        <v>75</v>
      </c>
      <c r="J55" s="19" t="s">
        <v>75</v>
      </c>
      <c r="K55" s="19" t="s">
        <v>75</v>
      </c>
      <c r="L55" s="19" t="s">
        <v>75</v>
      </c>
      <c r="M55" s="19" t="s">
        <v>88</v>
      </c>
      <c r="N55" s="19" t="s">
        <v>75</v>
      </c>
      <c r="O55" s="19" t="s">
        <v>437</v>
      </c>
      <c r="P55" s="20" t="s">
        <v>438</v>
      </c>
      <c r="Q55" s="19" t="s">
        <v>383</v>
      </c>
      <c r="R55" s="21" t="s">
        <v>246</v>
      </c>
      <c r="S55" s="22" t="s">
        <v>37</v>
      </c>
      <c r="T55" s="23" t="n">
        <f aca="false">COUNTIF('Call Log'!$B:$B,A55)</f>
        <v>0</v>
      </c>
      <c r="U55" s="24" t="str">
        <f aca="false">IF(T55=0,"",_xlfn.MAXIFS('Call Log'!$A:$A,'Call Log'!$B:$B,A55))</f>
        <v/>
      </c>
      <c r="V55" s="25"/>
      <c r="W55" s="26"/>
      <c r="X55" s="22"/>
    </row>
    <row r="56" customFormat="false" ht="49.25" hidden="false" customHeight="false" outlineLevel="0" collapsed="false">
      <c r="A56" s="27" t="s">
        <v>443</v>
      </c>
      <c r="B56" s="27" t="s">
        <v>26</v>
      </c>
      <c r="C56" s="27" t="s">
        <v>444</v>
      </c>
      <c r="D56" s="27" t="s">
        <v>69</v>
      </c>
      <c r="E56" s="27" t="s">
        <v>289</v>
      </c>
      <c r="F56" s="27" t="s">
        <v>289</v>
      </c>
      <c r="G56" s="27" t="s">
        <v>75</v>
      </c>
      <c r="H56" s="27" t="s">
        <v>241</v>
      </c>
      <c r="I56" s="27" t="s">
        <v>75</v>
      </c>
      <c r="J56" s="27" t="s">
        <v>75</v>
      </c>
      <c r="K56" s="27" t="s">
        <v>75</v>
      </c>
      <c r="L56" s="27" t="s">
        <v>75</v>
      </c>
      <c r="M56" s="27" t="s">
        <v>88</v>
      </c>
      <c r="N56" s="27" t="s">
        <v>75</v>
      </c>
      <c r="O56" s="27" t="s">
        <v>323</v>
      </c>
      <c r="P56" s="28" t="s">
        <v>445</v>
      </c>
      <c r="Q56" s="27" t="s">
        <v>446</v>
      </c>
      <c r="R56" s="29" t="s">
        <v>246</v>
      </c>
      <c r="S56" s="22" t="s">
        <v>37</v>
      </c>
      <c r="T56" s="30" t="n">
        <f aca="false">COUNTIF('Call Log'!$B:$B,A56)</f>
        <v>0</v>
      </c>
      <c r="U56" s="31" t="str">
        <f aca="false">IF(T56=0,"",_xlfn.MAXIFS('Call Log'!$A:$A,'Call Log'!$B:$B,A56))</f>
        <v/>
      </c>
      <c r="V56" s="25"/>
      <c r="W56" s="26"/>
      <c r="X56" s="22"/>
    </row>
    <row r="57" customFormat="false" ht="49.25" hidden="false" customHeight="false" outlineLevel="0" collapsed="false">
      <c r="A57" s="19" t="s">
        <v>447</v>
      </c>
      <c r="B57" s="19" t="s">
        <v>26</v>
      </c>
      <c r="C57" s="19" t="s">
        <v>448</v>
      </c>
      <c r="D57" s="19" t="s">
        <v>69</v>
      </c>
      <c r="E57" s="19" t="s">
        <v>289</v>
      </c>
      <c r="F57" s="19" t="s">
        <v>289</v>
      </c>
      <c r="G57" s="19" t="s">
        <v>75</v>
      </c>
      <c r="H57" s="19" t="s">
        <v>241</v>
      </c>
      <c r="I57" s="19" t="s">
        <v>75</v>
      </c>
      <c r="J57" s="19" t="s">
        <v>75</v>
      </c>
      <c r="K57" s="19" t="s">
        <v>75</v>
      </c>
      <c r="L57" s="19" t="s">
        <v>75</v>
      </c>
      <c r="M57" s="19" t="s">
        <v>88</v>
      </c>
      <c r="N57" s="19" t="s">
        <v>75</v>
      </c>
      <c r="O57" s="19" t="s">
        <v>323</v>
      </c>
      <c r="P57" s="20" t="s">
        <v>449</v>
      </c>
      <c r="Q57" s="19" t="s">
        <v>450</v>
      </c>
      <c r="R57" s="21" t="s">
        <v>246</v>
      </c>
      <c r="S57" s="22" t="s">
        <v>37</v>
      </c>
      <c r="T57" s="23" t="n">
        <f aca="false">COUNTIF('Call Log'!$B:$B,A57)</f>
        <v>0</v>
      </c>
      <c r="U57" s="24" t="str">
        <f aca="false">IF(T57=0,"",_xlfn.MAXIFS('Call Log'!$A:$A,'Call Log'!$B:$B,A57))</f>
        <v/>
      </c>
      <c r="V57" s="25"/>
      <c r="W57" s="26"/>
      <c r="X57" s="22"/>
    </row>
    <row r="58" customFormat="false" ht="49.25" hidden="false" customHeight="false" outlineLevel="0" collapsed="false">
      <c r="A58" s="27" t="s">
        <v>451</v>
      </c>
      <c r="B58" s="27" t="s">
        <v>26</v>
      </c>
      <c r="C58" s="27" t="s">
        <v>452</v>
      </c>
      <c r="D58" s="27" t="s">
        <v>69</v>
      </c>
      <c r="E58" s="27" t="s">
        <v>289</v>
      </c>
      <c r="F58" s="27" t="s">
        <v>289</v>
      </c>
      <c r="G58" s="27" t="s">
        <v>75</v>
      </c>
      <c r="H58" s="27" t="s">
        <v>241</v>
      </c>
      <c r="I58" s="27" t="s">
        <v>75</v>
      </c>
      <c r="J58" s="27" t="s">
        <v>75</v>
      </c>
      <c r="K58" s="27" t="s">
        <v>75</v>
      </c>
      <c r="L58" s="27" t="s">
        <v>75</v>
      </c>
      <c r="M58" s="27" t="s">
        <v>88</v>
      </c>
      <c r="N58" s="27" t="s">
        <v>75</v>
      </c>
      <c r="O58" s="27" t="s">
        <v>323</v>
      </c>
      <c r="P58" s="28" t="s">
        <v>449</v>
      </c>
      <c r="Q58" s="27" t="s">
        <v>453</v>
      </c>
      <c r="R58" s="29" t="s">
        <v>246</v>
      </c>
      <c r="S58" s="22" t="s">
        <v>37</v>
      </c>
      <c r="T58" s="30" t="n">
        <f aca="false">COUNTIF('Call Log'!$B:$B,A58)</f>
        <v>0</v>
      </c>
      <c r="U58" s="31" t="str">
        <f aca="false">IF(T58=0,"",_xlfn.MAXIFS('Call Log'!$A:$A,'Call Log'!$B:$B,A58))</f>
        <v/>
      </c>
      <c r="V58" s="25"/>
      <c r="W58" s="26"/>
      <c r="X58" s="22"/>
    </row>
    <row r="59" customFormat="false" ht="49.25" hidden="false" customHeight="false" outlineLevel="0" collapsed="false">
      <c r="A59" s="19" t="s">
        <v>454</v>
      </c>
      <c r="B59" s="19" t="s">
        <v>26</v>
      </c>
      <c r="C59" s="19" t="s">
        <v>455</v>
      </c>
      <c r="D59" s="19" t="s">
        <v>69</v>
      </c>
      <c r="E59" s="19" t="s">
        <v>289</v>
      </c>
      <c r="F59" s="19" t="s">
        <v>289</v>
      </c>
      <c r="G59" s="19" t="s">
        <v>75</v>
      </c>
      <c r="H59" s="19" t="s">
        <v>241</v>
      </c>
      <c r="I59" s="19" t="s">
        <v>75</v>
      </c>
      <c r="J59" s="19" t="s">
        <v>75</v>
      </c>
      <c r="K59" s="19" t="s">
        <v>75</v>
      </c>
      <c r="L59" s="19" t="s">
        <v>75</v>
      </c>
      <c r="M59" s="19" t="s">
        <v>88</v>
      </c>
      <c r="N59" s="19" t="s">
        <v>75</v>
      </c>
      <c r="O59" s="19" t="s">
        <v>323</v>
      </c>
      <c r="P59" s="20" t="s">
        <v>449</v>
      </c>
      <c r="Q59" s="19" t="s">
        <v>383</v>
      </c>
      <c r="R59" s="21" t="s">
        <v>246</v>
      </c>
      <c r="S59" s="22" t="s">
        <v>37</v>
      </c>
      <c r="T59" s="23" t="n">
        <f aca="false">COUNTIF('Call Log'!$B:$B,A59)</f>
        <v>0</v>
      </c>
      <c r="U59" s="24" t="str">
        <f aca="false">IF(T59=0,"",_xlfn.MAXIFS('Call Log'!$A:$A,'Call Log'!$B:$B,A59))</f>
        <v/>
      </c>
      <c r="V59" s="25"/>
      <c r="W59" s="26"/>
      <c r="X59" s="22"/>
    </row>
    <row r="60" customFormat="false" ht="49.25" hidden="false" customHeight="false" outlineLevel="0" collapsed="false">
      <c r="A60" s="27" t="s">
        <v>456</v>
      </c>
      <c r="B60" s="27" t="s">
        <v>26</v>
      </c>
      <c r="C60" s="27" t="s">
        <v>457</v>
      </c>
      <c r="D60" s="27" t="s">
        <v>69</v>
      </c>
      <c r="E60" s="27" t="s">
        <v>127</v>
      </c>
      <c r="F60" s="27" t="s">
        <v>458</v>
      </c>
      <c r="G60" s="27" t="s">
        <v>75</v>
      </c>
      <c r="H60" s="27" t="s">
        <v>241</v>
      </c>
      <c r="I60" s="27" t="s">
        <v>75</v>
      </c>
      <c r="J60" s="27" t="s">
        <v>75</v>
      </c>
      <c r="K60" s="27" t="s">
        <v>75</v>
      </c>
      <c r="L60" s="27" t="s">
        <v>75</v>
      </c>
      <c r="M60" s="27" t="s">
        <v>88</v>
      </c>
      <c r="N60" s="27" t="s">
        <v>75</v>
      </c>
      <c r="O60" s="27" t="s">
        <v>459</v>
      </c>
      <c r="P60" s="28" t="s">
        <v>460</v>
      </c>
      <c r="Q60" s="27" t="s">
        <v>383</v>
      </c>
      <c r="R60" s="29" t="s">
        <v>246</v>
      </c>
      <c r="S60" s="22" t="s">
        <v>37</v>
      </c>
      <c r="T60" s="30" t="n">
        <f aca="false">COUNTIF('Call Log'!$B:$B,A60)</f>
        <v>0</v>
      </c>
      <c r="U60" s="31" t="str">
        <f aca="false">IF(T60=0,"",_xlfn.MAXIFS('Call Log'!$A:$A,'Call Log'!$B:$B,A60))</f>
        <v/>
      </c>
      <c r="V60" s="25"/>
      <c r="W60" s="26"/>
      <c r="X60" s="22"/>
    </row>
    <row r="61" customFormat="false" ht="49.25" hidden="false" customHeight="false" outlineLevel="0" collapsed="false">
      <c r="A61" s="19" t="s">
        <v>461</v>
      </c>
      <c r="B61" s="19" t="s">
        <v>26</v>
      </c>
      <c r="C61" s="19" t="s">
        <v>462</v>
      </c>
      <c r="D61" s="19" t="s">
        <v>69</v>
      </c>
      <c r="E61" s="19" t="s">
        <v>463</v>
      </c>
      <c r="F61" s="19" t="s">
        <v>464</v>
      </c>
      <c r="G61" s="19" t="s">
        <v>75</v>
      </c>
      <c r="H61" s="19" t="s">
        <v>241</v>
      </c>
      <c r="I61" s="19" t="s">
        <v>75</v>
      </c>
      <c r="J61" s="19" t="s">
        <v>75</v>
      </c>
      <c r="K61" s="19" t="s">
        <v>75</v>
      </c>
      <c r="L61" s="19" t="s">
        <v>75</v>
      </c>
      <c r="M61" s="19" t="s">
        <v>88</v>
      </c>
      <c r="N61" s="19" t="s">
        <v>75</v>
      </c>
      <c r="O61" s="19" t="s">
        <v>465</v>
      </c>
      <c r="P61" s="20" t="s">
        <v>466</v>
      </c>
      <c r="Q61" s="19" t="s">
        <v>383</v>
      </c>
      <c r="R61" s="21" t="s">
        <v>246</v>
      </c>
      <c r="S61" s="22" t="s">
        <v>37</v>
      </c>
      <c r="T61" s="23" t="n">
        <f aca="false">COUNTIF('Call Log'!$B:$B,A61)</f>
        <v>0</v>
      </c>
      <c r="U61" s="24" t="str">
        <f aca="false">IF(T61=0,"",_xlfn.MAXIFS('Call Log'!$A:$A,'Call Log'!$B:$B,A61))</f>
        <v/>
      </c>
      <c r="V61" s="25"/>
      <c r="W61" s="26"/>
      <c r="X61" s="22"/>
    </row>
    <row r="62" customFormat="false" ht="49.25" hidden="false" customHeight="false" outlineLevel="0" collapsed="false">
      <c r="A62" s="27" t="s">
        <v>467</v>
      </c>
      <c r="B62" s="27" t="s">
        <v>29</v>
      </c>
      <c r="C62" s="27" t="s">
        <v>468</v>
      </c>
      <c r="D62" s="27" t="s">
        <v>69</v>
      </c>
      <c r="E62" s="27" t="s">
        <v>288</v>
      </c>
      <c r="F62" s="27" t="s">
        <v>289</v>
      </c>
      <c r="G62" s="27" t="s">
        <v>469</v>
      </c>
      <c r="H62" s="27" t="s">
        <v>112</v>
      </c>
      <c r="I62" s="27" t="s">
        <v>470</v>
      </c>
      <c r="J62" s="27" t="s">
        <v>75</v>
      </c>
      <c r="K62" s="27" t="s">
        <v>75</v>
      </c>
      <c r="L62" s="27" t="s">
        <v>75</v>
      </c>
      <c r="M62" s="27" t="s">
        <v>88</v>
      </c>
      <c r="N62" s="27" t="s">
        <v>75</v>
      </c>
      <c r="O62" s="27" t="s">
        <v>471</v>
      </c>
      <c r="P62" s="28" t="s">
        <v>472</v>
      </c>
      <c r="Q62" s="27" t="s">
        <v>473</v>
      </c>
      <c r="R62" s="29" t="s">
        <v>148</v>
      </c>
      <c r="S62" s="22" t="s">
        <v>37</v>
      </c>
      <c r="T62" s="30" t="n">
        <f aca="false">COUNTIF('Call Log'!$B:$B,A62)</f>
        <v>0</v>
      </c>
      <c r="U62" s="31" t="str">
        <f aca="false">IF(T62=0,"",_xlfn.MAXIFS('Call Log'!$A:$A,'Call Log'!$B:$B,A62))</f>
        <v/>
      </c>
      <c r="V62" s="25"/>
      <c r="W62" s="26"/>
      <c r="X62" s="22"/>
    </row>
    <row r="63" customFormat="false" ht="37.3" hidden="false" customHeight="false" outlineLevel="0" collapsed="false">
      <c r="A63" s="19" t="s">
        <v>474</v>
      </c>
      <c r="B63" s="19" t="s">
        <v>29</v>
      </c>
      <c r="C63" s="19" t="s">
        <v>475</v>
      </c>
      <c r="D63" s="19" t="s">
        <v>69</v>
      </c>
      <c r="E63" s="19" t="s">
        <v>476</v>
      </c>
      <c r="F63" s="19" t="s">
        <v>477</v>
      </c>
      <c r="G63" s="19" t="s">
        <v>478</v>
      </c>
      <c r="H63" s="19" t="s">
        <v>163</v>
      </c>
      <c r="I63" s="19" t="s">
        <v>381</v>
      </c>
      <c r="J63" s="19" t="s">
        <v>75</v>
      </c>
      <c r="K63" s="19" t="s">
        <v>75</v>
      </c>
      <c r="L63" s="19" t="s">
        <v>75</v>
      </c>
      <c r="M63" s="19" t="s">
        <v>88</v>
      </c>
      <c r="N63" s="19" t="s">
        <v>75</v>
      </c>
      <c r="O63" s="19" t="s">
        <v>479</v>
      </c>
      <c r="P63" s="20" t="s">
        <v>480</v>
      </c>
      <c r="Q63" s="19" t="s">
        <v>481</v>
      </c>
      <c r="R63" s="21" t="s">
        <v>148</v>
      </c>
      <c r="S63" s="22" t="s">
        <v>37</v>
      </c>
      <c r="T63" s="23" t="n">
        <f aca="false">COUNTIF('Call Log'!$B:$B,A63)</f>
        <v>0</v>
      </c>
      <c r="U63" s="24" t="str">
        <f aca="false">IF(T63=0,"",_xlfn.MAXIFS('Call Log'!$A:$A,'Call Log'!$B:$B,A63))</f>
        <v/>
      </c>
      <c r="V63" s="25"/>
      <c r="W63" s="26"/>
      <c r="X63" s="22"/>
    </row>
    <row r="64" customFormat="false" ht="37.3" hidden="false" customHeight="false" outlineLevel="0" collapsed="false">
      <c r="A64" s="27" t="s">
        <v>482</v>
      </c>
      <c r="B64" s="27" t="s">
        <v>29</v>
      </c>
      <c r="C64" s="27" t="s">
        <v>483</v>
      </c>
      <c r="D64" s="27" t="s">
        <v>69</v>
      </c>
      <c r="E64" s="27" t="s">
        <v>484</v>
      </c>
      <c r="F64" s="27" t="s">
        <v>485</v>
      </c>
      <c r="G64" s="27" t="s">
        <v>486</v>
      </c>
      <c r="H64" s="27" t="s">
        <v>112</v>
      </c>
      <c r="I64" s="27" t="s">
        <v>487</v>
      </c>
      <c r="J64" s="27" t="s">
        <v>75</v>
      </c>
      <c r="K64" s="27" t="s">
        <v>75</v>
      </c>
      <c r="L64" s="27" t="s">
        <v>75</v>
      </c>
      <c r="M64" s="27" t="s">
        <v>88</v>
      </c>
      <c r="N64" s="27" t="s">
        <v>75</v>
      </c>
      <c r="O64" s="27" t="s">
        <v>225</v>
      </c>
      <c r="P64" s="28" t="s">
        <v>488</v>
      </c>
      <c r="Q64" s="27" t="s">
        <v>481</v>
      </c>
      <c r="R64" s="29" t="s">
        <v>148</v>
      </c>
      <c r="S64" s="22" t="s">
        <v>37</v>
      </c>
      <c r="T64" s="30" t="n">
        <f aca="false">COUNTIF('Call Log'!$B:$B,A64)</f>
        <v>0</v>
      </c>
      <c r="U64" s="31" t="str">
        <f aca="false">IF(T64=0,"",_xlfn.MAXIFS('Call Log'!$A:$A,'Call Log'!$B:$B,A64))</f>
        <v/>
      </c>
      <c r="V64" s="25"/>
      <c r="W64" s="26"/>
      <c r="X64" s="22"/>
    </row>
    <row r="65" customFormat="false" ht="49.25" hidden="false" customHeight="false" outlineLevel="0" collapsed="false">
      <c r="A65" s="19" t="s">
        <v>489</v>
      </c>
      <c r="B65" s="19" t="s">
        <v>29</v>
      </c>
      <c r="C65" s="19" t="s">
        <v>490</v>
      </c>
      <c r="D65" s="19" t="s">
        <v>69</v>
      </c>
      <c r="E65" s="19" t="s">
        <v>160</v>
      </c>
      <c r="F65" s="19" t="s">
        <v>491</v>
      </c>
      <c r="G65" s="19" t="s">
        <v>492</v>
      </c>
      <c r="H65" s="19" t="s">
        <v>112</v>
      </c>
      <c r="I65" s="19" t="s">
        <v>493</v>
      </c>
      <c r="J65" s="19" t="s">
        <v>75</v>
      </c>
      <c r="K65" s="19" t="s">
        <v>75</v>
      </c>
      <c r="L65" s="19" t="s">
        <v>75</v>
      </c>
      <c r="M65" s="19" t="s">
        <v>88</v>
      </c>
      <c r="N65" s="19" t="s">
        <v>75</v>
      </c>
      <c r="O65" s="19" t="s">
        <v>494</v>
      </c>
      <c r="P65" s="20" t="s">
        <v>495</v>
      </c>
      <c r="Q65" s="19" t="s">
        <v>496</v>
      </c>
      <c r="R65" s="21" t="s">
        <v>148</v>
      </c>
      <c r="S65" s="22" t="s">
        <v>37</v>
      </c>
      <c r="T65" s="23" t="n">
        <f aca="false">COUNTIF('Call Log'!$B:$B,A65)</f>
        <v>0</v>
      </c>
      <c r="U65" s="24" t="str">
        <f aca="false">IF(T65=0,"",_xlfn.MAXIFS('Call Log'!$A:$A,'Call Log'!$B:$B,A65))</f>
        <v/>
      </c>
      <c r="V65" s="25"/>
      <c r="W65" s="26"/>
      <c r="X65" s="22"/>
    </row>
    <row r="66" customFormat="false" ht="37.3" hidden="false" customHeight="false" outlineLevel="0" collapsed="false">
      <c r="A66" s="27" t="s">
        <v>497</v>
      </c>
      <c r="B66" s="27" t="s">
        <v>29</v>
      </c>
      <c r="C66" s="27" t="s">
        <v>498</v>
      </c>
      <c r="D66" s="27" t="s">
        <v>69</v>
      </c>
      <c r="E66" s="27" t="s">
        <v>160</v>
      </c>
      <c r="F66" s="27" t="s">
        <v>491</v>
      </c>
      <c r="G66" s="27" t="s">
        <v>499</v>
      </c>
      <c r="H66" s="27" t="s">
        <v>112</v>
      </c>
      <c r="I66" s="27" t="s">
        <v>500</v>
      </c>
      <c r="J66" s="27" t="s">
        <v>75</v>
      </c>
      <c r="K66" s="27" t="s">
        <v>75</v>
      </c>
      <c r="L66" s="28" t="s">
        <v>501</v>
      </c>
      <c r="M66" s="27" t="s">
        <v>77</v>
      </c>
      <c r="N66" s="27" t="s">
        <v>75</v>
      </c>
      <c r="O66" s="27" t="s">
        <v>502</v>
      </c>
      <c r="P66" s="28" t="s">
        <v>503</v>
      </c>
      <c r="Q66" s="27" t="s">
        <v>504</v>
      </c>
      <c r="R66" s="29" t="s">
        <v>82</v>
      </c>
      <c r="S66" s="22" t="s">
        <v>37</v>
      </c>
      <c r="T66" s="30" t="n">
        <f aca="false">COUNTIF('Call Log'!$B:$B,A66)</f>
        <v>0</v>
      </c>
      <c r="U66" s="31" t="str">
        <f aca="false">IF(T66=0,"",_xlfn.MAXIFS('Call Log'!$A:$A,'Call Log'!$B:$B,A66))</f>
        <v/>
      </c>
      <c r="V66" s="25"/>
      <c r="W66" s="26"/>
      <c r="X66" s="22"/>
    </row>
    <row r="67" customFormat="false" ht="61.15" hidden="false" customHeight="false" outlineLevel="0" collapsed="false">
      <c r="A67" s="19" t="s">
        <v>505</v>
      </c>
      <c r="B67" s="19" t="s">
        <v>29</v>
      </c>
      <c r="C67" s="19" t="s">
        <v>506</v>
      </c>
      <c r="D67" s="19" t="s">
        <v>69</v>
      </c>
      <c r="E67" s="19" t="s">
        <v>160</v>
      </c>
      <c r="F67" s="19" t="s">
        <v>491</v>
      </c>
      <c r="G67" s="19" t="s">
        <v>507</v>
      </c>
      <c r="H67" s="19" t="s">
        <v>112</v>
      </c>
      <c r="I67" s="19" t="s">
        <v>508</v>
      </c>
      <c r="J67" s="19" t="s">
        <v>75</v>
      </c>
      <c r="K67" s="19" t="s">
        <v>509</v>
      </c>
      <c r="L67" s="20" t="s">
        <v>510</v>
      </c>
      <c r="M67" s="19" t="s">
        <v>77</v>
      </c>
      <c r="N67" s="19" t="s">
        <v>75</v>
      </c>
      <c r="O67" s="19" t="s">
        <v>167</v>
      </c>
      <c r="P67" s="20" t="s">
        <v>511</v>
      </c>
      <c r="Q67" s="19" t="s">
        <v>512</v>
      </c>
      <c r="R67" s="21" t="s">
        <v>82</v>
      </c>
      <c r="S67" s="22" t="s">
        <v>37</v>
      </c>
      <c r="T67" s="23" t="n">
        <f aca="false">COUNTIF('Call Log'!$B:$B,A67)</f>
        <v>0</v>
      </c>
      <c r="U67" s="24" t="str">
        <f aca="false">IF(T67=0,"",_xlfn.MAXIFS('Call Log'!$A:$A,'Call Log'!$B:$B,A67))</f>
        <v/>
      </c>
      <c r="V67" s="25"/>
      <c r="W67" s="26"/>
      <c r="X67" s="22"/>
    </row>
    <row r="68" customFormat="false" ht="37.3" hidden="false" customHeight="false" outlineLevel="0" collapsed="false">
      <c r="A68" s="27" t="s">
        <v>513</v>
      </c>
      <c r="B68" s="27" t="s">
        <v>29</v>
      </c>
      <c r="C68" s="27" t="s">
        <v>514</v>
      </c>
      <c r="D68" s="27" t="s">
        <v>69</v>
      </c>
      <c r="E68" s="27" t="s">
        <v>515</v>
      </c>
      <c r="F68" s="27" t="s">
        <v>516</v>
      </c>
      <c r="G68" s="27" t="s">
        <v>517</v>
      </c>
      <c r="H68" s="27" t="s">
        <v>112</v>
      </c>
      <c r="I68" s="27" t="s">
        <v>518</v>
      </c>
      <c r="J68" s="27" t="s">
        <v>75</v>
      </c>
      <c r="K68" s="27" t="s">
        <v>75</v>
      </c>
      <c r="L68" s="27" t="s">
        <v>75</v>
      </c>
      <c r="M68" s="27" t="s">
        <v>88</v>
      </c>
      <c r="N68" s="27" t="s">
        <v>75</v>
      </c>
      <c r="O68" s="27" t="s">
        <v>494</v>
      </c>
      <c r="P68" s="28" t="s">
        <v>495</v>
      </c>
      <c r="Q68" s="27" t="s">
        <v>481</v>
      </c>
      <c r="R68" s="29" t="s">
        <v>148</v>
      </c>
      <c r="S68" s="22" t="s">
        <v>37</v>
      </c>
      <c r="T68" s="30" t="n">
        <f aca="false">COUNTIF('Call Log'!$B:$B,A68)</f>
        <v>0</v>
      </c>
      <c r="U68" s="31" t="str">
        <f aca="false">IF(T68=0,"",_xlfn.MAXIFS('Call Log'!$A:$A,'Call Log'!$B:$B,A68))</f>
        <v/>
      </c>
      <c r="V68" s="25"/>
      <c r="W68" s="26"/>
      <c r="X68" s="22"/>
    </row>
    <row r="69" customFormat="false" ht="49.25" hidden="false" customHeight="false" outlineLevel="0" collapsed="false">
      <c r="A69" s="19" t="s">
        <v>519</v>
      </c>
      <c r="B69" s="19" t="s">
        <v>29</v>
      </c>
      <c r="C69" s="19" t="s">
        <v>520</v>
      </c>
      <c r="D69" s="19" t="s">
        <v>69</v>
      </c>
      <c r="E69" s="19" t="s">
        <v>160</v>
      </c>
      <c r="F69" s="19" t="s">
        <v>521</v>
      </c>
      <c r="G69" s="19" t="s">
        <v>75</v>
      </c>
      <c r="H69" s="19" t="s">
        <v>241</v>
      </c>
      <c r="I69" s="19" t="s">
        <v>75</v>
      </c>
      <c r="J69" s="19" t="s">
        <v>75</v>
      </c>
      <c r="K69" s="19" t="s">
        <v>75</v>
      </c>
      <c r="L69" s="19" t="s">
        <v>75</v>
      </c>
      <c r="M69" s="19" t="s">
        <v>88</v>
      </c>
      <c r="N69" s="19" t="s">
        <v>522</v>
      </c>
      <c r="O69" s="19" t="s">
        <v>90</v>
      </c>
      <c r="P69" s="20" t="s">
        <v>523</v>
      </c>
      <c r="Q69" s="19" t="s">
        <v>524</v>
      </c>
      <c r="R69" s="21" t="s">
        <v>246</v>
      </c>
      <c r="S69" s="22" t="s">
        <v>37</v>
      </c>
      <c r="T69" s="23" t="n">
        <f aca="false">COUNTIF('Call Log'!$B:$B,A69)</f>
        <v>0</v>
      </c>
      <c r="U69" s="24" t="str">
        <f aca="false">IF(T69=0,"",_xlfn.MAXIFS('Call Log'!$A:$A,'Call Log'!$B:$B,A69))</f>
        <v/>
      </c>
      <c r="V69" s="25"/>
      <c r="W69" s="26"/>
      <c r="X69" s="22"/>
    </row>
    <row r="70" customFormat="false" ht="37.3" hidden="false" customHeight="false" outlineLevel="0" collapsed="false">
      <c r="A70" s="27" t="s">
        <v>525</v>
      </c>
      <c r="B70" s="27" t="s">
        <v>29</v>
      </c>
      <c r="C70" s="27" t="s">
        <v>526</v>
      </c>
      <c r="D70" s="27" t="s">
        <v>69</v>
      </c>
      <c r="E70" s="27" t="s">
        <v>515</v>
      </c>
      <c r="F70" s="27" t="s">
        <v>516</v>
      </c>
      <c r="G70" s="27" t="s">
        <v>527</v>
      </c>
      <c r="H70" s="27" t="s">
        <v>73</v>
      </c>
      <c r="I70" s="27" t="s">
        <v>74</v>
      </c>
      <c r="J70" s="27" t="s">
        <v>75</v>
      </c>
      <c r="K70" s="27" t="s">
        <v>75</v>
      </c>
      <c r="L70" s="27" t="s">
        <v>75</v>
      </c>
      <c r="M70" s="27" t="s">
        <v>88</v>
      </c>
      <c r="N70" s="27" t="s">
        <v>75</v>
      </c>
      <c r="O70" s="27" t="s">
        <v>90</v>
      </c>
      <c r="P70" s="28" t="s">
        <v>528</v>
      </c>
      <c r="Q70" s="27" t="s">
        <v>481</v>
      </c>
      <c r="R70" s="29" t="s">
        <v>82</v>
      </c>
      <c r="S70" s="22" t="s">
        <v>37</v>
      </c>
      <c r="T70" s="30" t="n">
        <f aca="false">COUNTIF('Call Log'!$B:$B,A70)</f>
        <v>0</v>
      </c>
      <c r="U70" s="31" t="str">
        <f aca="false">IF(T70=0,"",_xlfn.MAXIFS('Call Log'!$A:$A,'Call Log'!$B:$B,A70))</f>
        <v/>
      </c>
      <c r="V70" s="25"/>
      <c r="W70" s="26"/>
      <c r="X70" s="22"/>
    </row>
    <row r="71" customFormat="false" ht="37.3" hidden="false" customHeight="false" outlineLevel="0" collapsed="false">
      <c r="A71" s="19" t="s">
        <v>529</v>
      </c>
      <c r="B71" s="19" t="s">
        <v>29</v>
      </c>
      <c r="C71" s="19" t="s">
        <v>530</v>
      </c>
      <c r="D71" s="19" t="s">
        <v>69</v>
      </c>
      <c r="E71" s="19" t="s">
        <v>531</v>
      </c>
      <c r="F71" s="19" t="s">
        <v>532</v>
      </c>
      <c r="G71" s="19" t="s">
        <v>533</v>
      </c>
      <c r="H71" s="19" t="s">
        <v>73</v>
      </c>
      <c r="I71" s="19" t="s">
        <v>74</v>
      </c>
      <c r="J71" s="19" t="s">
        <v>75</v>
      </c>
      <c r="K71" s="19" t="s">
        <v>75</v>
      </c>
      <c r="L71" s="19" t="s">
        <v>75</v>
      </c>
      <c r="M71" s="19" t="s">
        <v>88</v>
      </c>
      <c r="N71" s="19" t="s">
        <v>75</v>
      </c>
      <c r="O71" s="19" t="s">
        <v>90</v>
      </c>
      <c r="P71" s="20" t="s">
        <v>534</v>
      </c>
      <c r="Q71" s="19" t="s">
        <v>481</v>
      </c>
      <c r="R71" s="21" t="s">
        <v>82</v>
      </c>
      <c r="S71" s="22" t="s">
        <v>37</v>
      </c>
      <c r="T71" s="23" t="n">
        <f aca="false">COUNTIF('Call Log'!$B:$B,A71)</f>
        <v>0</v>
      </c>
      <c r="U71" s="24" t="str">
        <f aca="false">IF(T71=0,"",_xlfn.MAXIFS('Call Log'!$A:$A,'Call Log'!$B:$B,A71))</f>
        <v/>
      </c>
      <c r="V71" s="25"/>
      <c r="W71" s="26"/>
      <c r="X71" s="22"/>
    </row>
    <row r="72" customFormat="false" ht="49.25" hidden="false" customHeight="false" outlineLevel="0" collapsed="false">
      <c r="A72" s="27" t="s">
        <v>535</v>
      </c>
      <c r="B72" s="27" t="s">
        <v>29</v>
      </c>
      <c r="C72" s="27" t="s">
        <v>536</v>
      </c>
      <c r="D72" s="27" t="s">
        <v>69</v>
      </c>
      <c r="E72" s="27" t="s">
        <v>537</v>
      </c>
      <c r="F72" s="27" t="s">
        <v>538</v>
      </c>
      <c r="G72" s="27" t="s">
        <v>539</v>
      </c>
      <c r="H72" s="27" t="s">
        <v>73</v>
      </c>
      <c r="I72" s="27" t="s">
        <v>74</v>
      </c>
      <c r="J72" s="27" t="s">
        <v>75</v>
      </c>
      <c r="K72" s="27" t="s">
        <v>75</v>
      </c>
      <c r="L72" s="27" t="s">
        <v>75</v>
      </c>
      <c r="M72" s="27" t="s">
        <v>88</v>
      </c>
      <c r="N72" s="27" t="s">
        <v>75</v>
      </c>
      <c r="O72" s="27" t="s">
        <v>90</v>
      </c>
      <c r="P72" s="28" t="s">
        <v>528</v>
      </c>
      <c r="Q72" s="27" t="s">
        <v>540</v>
      </c>
      <c r="R72" s="29" t="s">
        <v>82</v>
      </c>
      <c r="S72" s="22" t="s">
        <v>37</v>
      </c>
      <c r="T72" s="30" t="n">
        <f aca="false">COUNTIF('Call Log'!$B:$B,A72)</f>
        <v>0</v>
      </c>
      <c r="U72" s="31" t="str">
        <f aca="false">IF(T72=0,"",_xlfn.MAXIFS('Call Log'!$A:$A,'Call Log'!$B:$B,A72))</f>
        <v/>
      </c>
      <c r="V72" s="25"/>
      <c r="W72" s="26"/>
      <c r="X72" s="22"/>
    </row>
    <row r="73" customFormat="false" ht="61.15" hidden="false" customHeight="false" outlineLevel="0" collapsed="false">
      <c r="A73" s="19" t="s">
        <v>541</v>
      </c>
      <c r="B73" s="19" t="s">
        <v>29</v>
      </c>
      <c r="C73" s="19" t="s">
        <v>542</v>
      </c>
      <c r="D73" s="19" t="s">
        <v>69</v>
      </c>
      <c r="E73" s="19" t="s">
        <v>543</v>
      </c>
      <c r="F73" s="19" t="s">
        <v>544</v>
      </c>
      <c r="G73" s="19" t="s">
        <v>545</v>
      </c>
      <c r="H73" s="19" t="s">
        <v>73</v>
      </c>
      <c r="I73" s="19" t="s">
        <v>74</v>
      </c>
      <c r="J73" s="19" t="s">
        <v>75</v>
      </c>
      <c r="K73" s="19" t="s">
        <v>75</v>
      </c>
      <c r="L73" s="19" t="s">
        <v>75</v>
      </c>
      <c r="M73" s="19" t="s">
        <v>88</v>
      </c>
      <c r="N73" s="19" t="s">
        <v>75</v>
      </c>
      <c r="O73" s="19" t="s">
        <v>90</v>
      </c>
      <c r="P73" s="20" t="s">
        <v>546</v>
      </c>
      <c r="Q73" s="19" t="s">
        <v>547</v>
      </c>
      <c r="R73" s="21" t="s">
        <v>82</v>
      </c>
      <c r="S73" s="22" t="s">
        <v>37</v>
      </c>
      <c r="T73" s="23" t="n">
        <f aca="false">COUNTIF('Call Log'!$B:$B,A73)</f>
        <v>0</v>
      </c>
      <c r="U73" s="24" t="str">
        <f aca="false">IF(T73=0,"",_xlfn.MAXIFS('Call Log'!$A:$A,'Call Log'!$B:$B,A73))</f>
        <v/>
      </c>
      <c r="V73" s="25"/>
      <c r="W73" s="26"/>
      <c r="X73" s="22"/>
    </row>
    <row r="74" customFormat="false" ht="37.3" hidden="false" customHeight="false" outlineLevel="0" collapsed="false">
      <c r="A74" s="27" t="s">
        <v>548</v>
      </c>
      <c r="B74" s="27" t="s">
        <v>29</v>
      </c>
      <c r="C74" s="27" t="s">
        <v>549</v>
      </c>
      <c r="D74" s="27" t="s">
        <v>69</v>
      </c>
      <c r="E74" s="27" t="s">
        <v>543</v>
      </c>
      <c r="F74" s="27" t="s">
        <v>544</v>
      </c>
      <c r="G74" s="27" t="s">
        <v>75</v>
      </c>
      <c r="H74" s="27" t="s">
        <v>241</v>
      </c>
      <c r="I74" s="27" t="s">
        <v>75</v>
      </c>
      <c r="J74" s="27" t="s">
        <v>75</v>
      </c>
      <c r="K74" s="27" t="s">
        <v>75</v>
      </c>
      <c r="L74" s="27" t="s">
        <v>75</v>
      </c>
      <c r="M74" s="27" t="s">
        <v>88</v>
      </c>
      <c r="N74" s="27" t="s">
        <v>75</v>
      </c>
      <c r="O74" s="27" t="s">
        <v>90</v>
      </c>
      <c r="P74" s="28" t="s">
        <v>546</v>
      </c>
      <c r="Q74" s="27" t="s">
        <v>481</v>
      </c>
      <c r="R74" s="29" t="s">
        <v>246</v>
      </c>
      <c r="S74" s="22" t="s">
        <v>37</v>
      </c>
      <c r="T74" s="30" t="n">
        <f aca="false">COUNTIF('Call Log'!$B:$B,A74)</f>
        <v>0</v>
      </c>
      <c r="U74" s="31" t="str">
        <f aca="false">IF(T74=0,"",_xlfn.MAXIFS('Call Log'!$A:$A,'Call Log'!$B:$B,A74))</f>
        <v/>
      </c>
      <c r="V74" s="25"/>
      <c r="W74" s="26"/>
      <c r="X74" s="22"/>
    </row>
    <row r="75" customFormat="false" ht="37.3" hidden="false" customHeight="false" outlineLevel="0" collapsed="false">
      <c r="A75" s="19" t="s">
        <v>550</v>
      </c>
      <c r="B75" s="19" t="s">
        <v>29</v>
      </c>
      <c r="C75" s="19" t="s">
        <v>551</v>
      </c>
      <c r="D75" s="19" t="s">
        <v>69</v>
      </c>
      <c r="E75" s="19" t="s">
        <v>552</v>
      </c>
      <c r="F75" s="19" t="s">
        <v>553</v>
      </c>
      <c r="G75" s="19" t="s">
        <v>554</v>
      </c>
      <c r="H75" s="19" t="s">
        <v>112</v>
      </c>
      <c r="I75" s="19" t="s">
        <v>555</v>
      </c>
      <c r="J75" s="19" t="s">
        <v>556</v>
      </c>
      <c r="K75" s="19" t="s">
        <v>557</v>
      </c>
      <c r="L75" s="20" t="s">
        <v>558</v>
      </c>
      <c r="M75" s="19" t="s">
        <v>77</v>
      </c>
      <c r="N75" s="19" t="s">
        <v>75</v>
      </c>
      <c r="O75" s="19" t="s">
        <v>167</v>
      </c>
      <c r="P75" s="20" t="s">
        <v>559</v>
      </c>
      <c r="Q75" s="19" t="s">
        <v>504</v>
      </c>
      <c r="R75" s="21" t="s">
        <v>82</v>
      </c>
      <c r="S75" s="22" t="s">
        <v>37</v>
      </c>
      <c r="T75" s="23" t="n">
        <f aca="false">COUNTIF('Call Log'!$B:$B,A75)</f>
        <v>0</v>
      </c>
      <c r="U75" s="24" t="str">
        <f aca="false">IF(T75=0,"",_xlfn.MAXIFS('Call Log'!$A:$A,'Call Log'!$B:$B,A75))</f>
        <v/>
      </c>
      <c r="V75" s="25"/>
      <c r="W75" s="26"/>
      <c r="X75" s="22"/>
    </row>
    <row r="76" customFormat="false" ht="37.3" hidden="false" customHeight="false" outlineLevel="0" collapsed="false">
      <c r="A76" s="27" t="s">
        <v>560</v>
      </c>
      <c r="B76" s="27" t="s">
        <v>29</v>
      </c>
      <c r="C76" s="27" t="s">
        <v>561</v>
      </c>
      <c r="D76" s="27" t="s">
        <v>69</v>
      </c>
      <c r="E76" s="27" t="s">
        <v>562</v>
      </c>
      <c r="F76" s="27" t="s">
        <v>563</v>
      </c>
      <c r="G76" s="27" t="s">
        <v>564</v>
      </c>
      <c r="H76" s="27" t="s">
        <v>112</v>
      </c>
      <c r="I76" s="27" t="s">
        <v>565</v>
      </c>
      <c r="J76" s="27" t="s">
        <v>75</v>
      </c>
      <c r="K76" s="27" t="s">
        <v>566</v>
      </c>
      <c r="L76" s="28" t="s">
        <v>567</v>
      </c>
      <c r="M76" s="27" t="s">
        <v>77</v>
      </c>
      <c r="N76" s="27" t="s">
        <v>75</v>
      </c>
      <c r="O76" s="27" t="s">
        <v>167</v>
      </c>
      <c r="P76" s="28" t="s">
        <v>568</v>
      </c>
      <c r="Q76" s="27" t="s">
        <v>504</v>
      </c>
      <c r="R76" s="29" t="s">
        <v>82</v>
      </c>
      <c r="S76" s="22" t="s">
        <v>37</v>
      </c>
      <c r="T76" s="30" t="n">
        <f aca="false">COUNTIF('Call Log'!$B:$B,A76)</f>
        <v>0</v>
      </c>
      <c r="U76" s="31" t="str">
        <f aca="false">IF(T76=0,"",_xlfn.MAXIFS('Call Log'!$A:$A,'Call Log'!$B:$B,A76))</f>
        <v/>
      </c>
      <c r="V76" s="25"/>
      <c r="W76" s="26"/>
      <c r="X76" s="22"/>
    </row>
    <row r="77" customFormat="false" ht="37.3" hidden="false" customHeight="false" outlineLevel="0" collapsed="false">
      <c r="A77" s="19" t="s">
        <v>569</v>
      </c>
      <c r="B77" s="19" t="s">
        <v>29</v>
      </c>
      <c r="C77" s="19" t="s">
        <v>570</v>
      </c>
      <c r="D77" s="19" t="s">
        <v>69</v>
      </c>
      <c r="E77" s="19" t="s">
        <v>571</v>
      </c>
      <c r="F77" s="19" t="s">
        <v>572</v>
      </c>
      <c r="G77" s="19" t="s">
        <v>573</v>
      </c>
      <c r="H77" s="19" t="s">
        <v>112</v>
      </c>
      <c r="I77" s="19" t="s">
        <v>574</v>
      </c>
      <c r="J77" s="19" t="s">
        <v>75</v>
      </c>
      <c r="K77" s="19" t="s">
        <v>575</v>
      </c>
      <c r="L77" s="20" t="s">
        <v>576</v>
      </c>
      <c r="M77" s="19" t="s">
        <v>77</v>
      </c>
      <c r="N77" s="19" t="s">
        <v>75</v>
      </c>
      <c r="O77" s="19" t="s">
        <v>167</v>
      </c>
      <c r="P77" s="20" t="s">
        <v>577</v>
      </c>
      <c r="Q77" s="19" t="s">
        <v>504</v>
      </c>
      <c r="R77" s="21" t="s">
        <v>82</v>
      </c>
      <c r="S77" s="22" t="s">
        <v>37</v>
      </c>
      <c r="T77" s="23" t="n">
        <f aca="false">COUNTIF('Call Log'!$B:$B,A77)</f>
        <v>0</v>
      </c>
      <c r="U77" s="24" t="str">
        <f aca="false">IF(T77=0,"",_xlfn.MAXIFS('Call Log'!$A:$A,'Call Log'!$B:$B,A77))</f>
        <v/>
      </c>
      <c r="V77" s="25"/>
      <c r="W77" s="26"/>
      <c r="X77" s="22"/>
    </row>
    <row r="78" customFormat="false" ht="37.3" hidden="false" customHeight="false" outlineLevel="0" collapsed="false">
      <c r="A78" s="27" t="s">
        <v>578</v>
      </c>
      <c r="B78" s="27" t="s">
        <v>29</v>
      </c>
      <c r="C78" s="27" t="s">
        <v>579</v>
      </c>
      <c r="D78" s="27" t="s">
        <v>69</v>
      </c>
      <c r="E78" s="27" t="s">
        <v>377</v>
      </c>
      <c r="F78" s="27" t="s">
        <v>580</v>
      </c>
      <c r="G78" s="27" t="s">
        <v>581</v>
      </c>
      <c r="H78" s="27" t="s">
        <v>112</v>
      </c>
      <c r="I78" s="27" t="s">
        <v>582</v>
      </c>
      <c r="J78" s="27" t="s">
        <v>75</v>
      </c>
      <c r="K78" s="27" t="s">
        <v>583</v>
      </c>
      <c r="L78" s="28" t="s">
        <v>584</v>
      </c>
      <c r="M78" s="27" t="s">
        <v>77</v>
      </c>
      <c r="N78" s="27" t="s">
        <v>75</v>
      </c>
      <c r="O78" s="27" t="s">
        <v>167</v>
      </c>
      <c r="P78" s="28" t="s">
        <v>585</v>
      </c>
      <c r="Q78" s="27" t="s">
        <v>504</v>
      </c>
      <c r="R78" s="29" t="s">
        <v>82</v>
      </c>
      <c r="S78" s="22" t="s">
        <v>37</v>
      </c>
      <c r="T78" s="30" t="n">
        <f aca="false">COUNTIF('Call Log'!$B:$B,A78)</f>
        <v>0</v>
      </c>
      <c r="U78" s="31" t="str">
        <f aca="false">IF(T78=0,"",_xlfn.MAXIFS('Call Log'!$A:$A,'Call Log'!$B:$B,A78))</f>
        <v/>
      </c>
      <c r="V78" s="25"/>
      <c r="W78" s="26"/>
      <c r="X78" s="22"/>
    </row>
    <row r="79" customFormat="false" ht="37.3" hidden="false" customHeight="false" outlineLevel="0" collapsed="false">
      <c r="A79" s="19" t="s">
        <v>586</v>
      </c>
      <c r="B79" s="19" t="s">
        <v>29</v>
      </c>
      <c r="C79" s="19" t="s">
        <v>587</v>
      </c>
      <c r="D79" s="19" t="s">
        <v>69</v>
      </c>
      <c r="E79" s="19" t="s">
        <v>288</v>
      </c>
      <c r="F79" s="19" t="s">
        <v>289</v>
      </c>
      <c r="G79" s="19" t="s">
        <v>588</v>
      </c>
      <c r="H79" s="19" t="s">
        <v>112</v>
      </c>
      <c r="I79" s="19" t="s">
        <v>589</v>
      </c>
      <c r="J79" s="19" t="s">
        <v>75</v>
      </c>
      <c r="K79" s="19" t="s">
        <v>590</v>
      </c>
      <c r="L79" s="20" t="s">
        <v>591</v>
      </c>
      <c r="M79" s="19" t="s">
        <v>77</v>
      </c>
      <c r="N79" s="19" t="s">
        <v>75</v>
      </c>
      <c r="O79" s="19" t="s">
        <v>167</v>
      </c>
      <c r="P79" s="20" t="s">
        <v>592</v>
      </c>
      <c r="Q79" s="19" t="s">
        <v>504</v>
      </c>
      <c r="R79" s="21" t="s">
        <v>82</v>
      </c>
      <c r="S79" s="22" t="s">
        <v>37</v>
      </c>
      <c r="T79" s="23" t="n">
        <f aca="false">COUNTIF('Call Log'!$B:$B,A79)</f>
        <v>0</v>
      </c>
      <c r="U79" s="24" t="str">
        <f aca="false">IF(T79=0,"",_xlfn.MAXIFS('Call Log'!$A:$A,'Call Log'!$B:$B,A79))</f>
        <v/>
      </c>
      <c r="V79" s="25"/>
      <c r="W79" s="26"/>
      <c r="X79" s="22"/>
    </row>
    <row r="80" customFormat="false" ht="49.25" hidden="false" customHeight="false" outlineLevel="0" collapsed="false">
      <c r="A80" s="27" t="s">
        <v>593</v>
      </c>
      <c r="B80" s="27" t="s">
        <v>29</v>
      </c>
      <c r="C80" s="27" t="s">
        <v>594</v>
      </c>
      <c r="D80" s="27" t="s">
        <v>69</v>
      </c>
      <c r="E80" s="27" t="s">
        <v>595</v>
      </c>
      <c r="F80" s="27" t="s">
        <v>596</v>
      </c>
      <c r="G80" s="27" t="s">
        <v>597</v>
      </c>
      <c r="H80" s="27" t="s">
        <v>112</v>
      </c>
      <c r="I80" s="27" t="s">
        <v>598</v>
      </c>
      <c r="J80" s="27" t="s">
        <v>75</v>
      </c>
      <c r="K80" s="27" t="s">
        <v>599</v>
      </c>
      <c r="L80" s="28" t="s">
        <v>600</v>
      </c>
      <c r="M80" s="27" t="s">
        <v>77</v>
      </c>
      <c r="N80" s="27" t="s">
        <v>75</v>
      </c>
      <c r="O80" s="27" t="s">
        <v>167</v>
      </c>
      <c r="P80" s="28" t="s">
        <v>601</v>
      </c>
      <c r="Q80" s="27" t="s">
        <v>602</v>
      </c>
      <c r="R80" s="29" t="s">
        <v>82</v>
      </c>
      <c r="S80" s="22" t="s">
        <v>37</v>
      </c>
      <c r="T80" s="30" t="n">
        <f aca="false">COUNTIF('Call Log'!$B:$B,A80)</f>
        <v>0</v>
      </c>
      <c r="U80" s="31" t="str">
        <f aca="false">IF(T80=0,"",_xlfn.MAXIFS('Call Log'!$A:$A,'Call Log'!$B:$B,A80))</f>
        <v/>
      </c>
      <c r="V80" s="25"/>
      <c r="W80" s="26"/>
      <c r="X80" s="22"/>
    </row>
    <row r="81" customFormat="false" ht="37.3" hidden="false" customHeight="false" outlineLevel="0" collapsed="false">
      <c r="A81" s="19" t="s">
        <v>603</v>
      </c>
      <c r="B81" s="19" t="s">
        <v>29</v>
      </c>
      <c r="C81" s="19" t="s">
        <v>604</v>
      </c>
      <c r="D81" s="19" t="s">
        <v>69</v>
      </c>
      <c r="E81" s="19" t="s">
        <v>605</v>
      </c>
      <c r="F81" s="19" t="s">
        <v>606</v>
      </c>
      <c r="G81" s="19" t="s">
        <v>607</v>
      </c>
      <c r="H81" s="19" t="s">
        <v>112</v>
      </c>
      <c r="I81" s="19" t="s">
        <v>608</v>
      </c>
      <c r="J81" s="19" t="s">
        <v>75</v>
      </c>
      <c r="K81" s="19" t="s">
        <v>609</v>
      </c>
      <c r="L81" s="20" t="s">
        <v>610</v>
      </c>
      <c r="M81" s="19" t="s">
        <v>77</v>
      </c>
      <c r="N81" s="19" t="s">
        <v>75</v>
      </c>
      <c r="O81" s="19" t="s">
        <v>167</v>
      </c>
      <c r="P81" s="20" t="s">
        <v>611</v>
      </c>
      <c r="Q81" s="19" t="s">
        <v>504</v>
      </c>
      <c r="R81" s="21" t="s">
        <v>82</v>
      </c>
      <c r="S81" s="22" t="s">
        <v>37</v>
      </c>
      <c r="T81" s="23" t="n">
        <f aca="false">COUNTIF('Call Log'!$B:$B,A81)</f>
        <v>0</v>
      </c>
      <c r="U81" s="24" t="str">
        <f aca="false">IF(T81=0,"",_xlfn.MAXIFS('Call Log'!$A:$A,'Call Log'!$B:$B,A81))</f>
        <v/>
      </c>
      <c r="V81" s="25"/>
      <c r="W81" s="26"/>
      <c r="X81" s="22"/>
    </row>
    <row r="82" customFormat="false" ht="37.3" hidden="false" customHeight="false" outlineLevel="0" collapsed="false">
      <c r="A82" s="27" t="s">
        <v>612</v>
      </c>
      <c r="B82" s="27" t="s">
        <v>29</v>
      </c>
      <c r="C82" s="27" t="s">
        <v>613</v>
      </c>
      <c r="D82" s="27" t="s">
        <v>69</v>
      </c>
      <c r="E82" s="27" t="s">
        <v>281</v>
      </c>
      <c r="F82" s="27" t="s">
        <v>614</v>
      </c>
      <c r="G82" s="27" t="s">
        <v>615</v>
      </c>
      <c r="H82" s="27" t="s">
        <v>112</v>
      </c>
      <c r="I82" s="27" t="s">
        <v>616</v>
      </c>
      <c r="J82" s="27" t="s">
        <v>75</v>
      </c>
      <c r="K82" s="27" t="s">
        <v>617</v>
      </c>
      <c r="L82" s="28" t="s">
        <v>618</v>
      </c>
      <c r="M82" s="27" t="s">
        <v>77</v>
      </c>
      <c r="N82" s="27" t="s">
        <v>75</v>
      </c>
      <c r="O82" s="27" t="s">
        <v>167</v>
      </c>
      <c r="P82" s="28" t="s">
        <v>619</v>
      </c>
      <c r="Q82" s="27" t="s">
        <v>504</v>
      </c>
      <c r="R82" s="29" t="s">
        <v>82</v>
      </c>
      <c r="S82" s="22" t="s">
        <v>37</v>
      </c>
      <c r="T82" s="30" t="n">
        <f aca="false">COUNTIF('Call Log'!$B:$B,A82)</f>
        <v>0</v>
      </c>
      <c r="U82" s="31" t="str">
        <f aca="false">IF(T82=0,"",_xlfn.MAXIFS('Call Log'!$A:$A,'Call Log'!$B:$B,A82))</f>
        <v/>
      </c>
      <c r="V82" s="25"/>
      <c r="W82" s="26"/>
      <c r="X82" s="22"/>
    </row>
    <row r="83" customFormat="false" ht="37.3" hidden="false" customHeight="false" outlineLevel="0" collapsed="false">
      <c r="A83" s="19" t="s">
        <v>620</v>
      </c>
      <c r="B83" s="19" t="s">
        <v>29</v>
      </c>
      <c r="C83" s="19" t="s">
        <v>621</v>
      </c>
      <c r="D83" s="19" t="s">
        <v>69</v>
      </c>
      <c r="E83" s="19" t="s">
        <v>622</v>
      </c>
      <c r="F83" s="19" t="s">
        <v>623</v>
      </c>
      <c r="G83" s="19" t="s">
        <v>624</v>
      </c>
      <c r="H83" s="19" t="s">
        <v>112</v>
      </c>
      <c r="I83" s="19" t="s">
        <v>625</v>
      </c>
      <c r="J83" s="19" t="s">
        <v>75</v>
      </c>
      <c r="K83" s="19" t="s">
        <v>75</v>
      </c>
      <c r="L83" s="20" t="s">
        <v>626</v>
      </c>
      <c r="M83" s="19" t="s">
        <v>77</v>
      </c>
      <c r="N83" s="19" t="s">
        <v>75</v>
      </c>
      <c r="O83" s="19" t="s">
        <v>167</v>
      </c>
      <c r="P83" s="20" t="s">
        <v>627</v>
      </c>
      <c r="Q83" s="19" t="s">
        <v>504</v>
      </c>
      <c r="R83" s="21" t="s">
        <v>82</v>
      </c>
      <c r="S83" s="22" t="s">
        <v>37</v>
      </c>
      <c r="T83" s="23" t="n">
        <f aca="false">COUNTIF('Call Log'!$B:$B,A83)</f>
        <v>0</v>
      </c>
      <c r="U83" s="24" t="str">
        <f aca="false">IF(T83=0,"",_xlfn.MAXIFS('Call Log'!$A:$A,'Call Log'!$B:$B,A83))</f>
        <v/>
      </c>
      <c r="V83" s="25"/>
      <c r="W83" s="26"/>
      <c r="X83" s="22"/>
    </row>
    <row r="84" customFormat="false" ht="49.25" hidden="false" customHeight="false" outlineLevel="0" collapsed="false">
      <c r="A84" s="27" t="s">
        <v>628</v>
      </c>
      <c r="B84" s="27" t="s">
        <v>29</v>
      </c>
      <c r="C84" s="27" t="s">
        <v>629</v>
      </c>
      <c r="D84" s="27" t="s">
        <v>69</v>
      </c>
      <c r="E84" s="27" t="s">
        <v>288</v>
      </c>
      <c r="F84" s="27" t="s">
        <v>289</v>
      </c>
      <c r="G84" s="27" t="s">
        <v>630</v>
      </c>
      <c r="H84" s="27" t="s">
        <v>112</v>
      </c>
      <c r="I84" s="27" t="s">
        <v>631</v>
      </c>
      <c r="J84" s="27" t="s">
        <v>75</v>
      </c>
      <c r="K84" s="27" t="s">
        <v>632</v>
      </c>
      <c r="L84" s="27" t="s">
        <v>75</v>
      </c>
      <c r="M84" s="27" t="s">
        <v>88</v>
      </c>
      <c r="N84" s="27" t="s">
        <v>75</v>
      </c>
      <c r="O84" s="27" t="s">
        <v>633</v>
      </c>
      <c r="P84" s="28" t="s">
        <v>634</v>
      </c>
      <c r="Q84" s="27" t="s">
        <v>635</v>
      </c>
      <c r="R84" s="29" t="s">
        <v>148</v>
      </c>
      <c r="S84" s="22" t="s">
        <v>37</v>
      </c>
      <c r="T84" s="30" t="n">
        <f aca="false">COUNTIF('Call Log'!$B:$B,A84)</f>
        <v>0</v>
      </c>
      <c r="U84" s="31" t="str">
        <f aca="false">IF(T84=0,"",_xlfn.MAXIFS('Call Log'!$A:$A,'Call Log'!$B:$B,A84))</f>
        <v/>
      </c>
      <c r="V84" s="25"/>
      <c r="W84" s="26"/>
      <c r="X84" s="22"/>
    </row>
    <row r="85" customFormat="false" ht="49.25" hidden="false" customHeight="false" outlineLevel="0" collapsed="false">
      <c r="A85" s="19" t="s">
        <v>636</v>
      </c>
      <c r="B85" s="19" t="s">
        <v>31</v>
      </c>
      <c r="C85" s="19" t="s">
        <v>637</v>
      </c>
      <c r="D85" s="19" t="s">
        <v>69</v>
      </c>
      <c r="E85" s="19" t="s">
        <v>321</v>
      </c>
      <c r="F85" s="19" t="s">
        <v>361</v>
      </c>
      <c r="G85" s="19" t="s">
        <v>638</v>
      </c>
      <c r="H85" s="19" t="s">
        <v>73</v>
      </c>
      <c r="I85" s="19" t="s">
        <v>74</v>
      </c>
      <c r="J85" s="19" t="s">
        <v>75</v>
      </c>
      <c r="K85" s="19" t="s">
        <v>75</v>
      </c>
      <c r="L85" s="19" t="s">
        <v>75</v>
      </c>
      <c r="M85" s="19" t="s">
        <v>88</v>
      </c>
      <c r="N85" s="19" t="s">
        <v>639</v>
      </c>
      <c r="O85" s="19" t="s">
        <v>90</v>
      </c>
      <c r="P85" s="20" t="s">
        <v>640</v>
      </c>
      <c r="Q85" s="19" t="s">
        <v>641</v>
      </c>
      <c r="R85" s="21" t="s">
        <v>82</v>
      </c>
      <c r="S85" s="22" t="s">
        <v>37</v>
      </c>
      <c r="T85" s="23" t="n">
        <f aca="false">COUNTIF('Call Log'!$B:$B,A85)</f>
        <v>0</v>
      </c>
      <c r="U85" s="24" t="str">
        <f aca="false">IF(T85=0,"",_xlfn.MAXIFS('Call Log'!$A:$A,'Call Log'!$B:$B,A85))</f>
        <v/>
      </c>
      <c r="V85" s="25"/>
      <c r="W85" s="26"/>
      <c r="X85" s="22"/>
    </row>
    <row r="86" customFormat="false" ht="49.25" hidden="false" customHeight="false" outlineLevel="0" collapsed="false">
      <c r="A86" s="27" t="s">
        <v>642</v>
      </c>
      <c r="B86" s="27" t="s">
        <v>31</v>
      </c>
      <c r="C86" s="27" t="s">
        <v>643</v>
      </c>
      <c r="D86" s="27" t="s">
        <v>69</v>
      </c>
      <c r="E86" s="27" t="s">
        <v>644</v>
      </c>
      <c r="F86" s="27" t="s">
        <v>645</v>
      </c>
      <c r="G86" s="27" t="s">
        <v>646</v>
      </c>
      <c r="H86" s="27" t="s">
        <v>73</v>
      </c>
      <c r="I86" s="27" t="s">
        <v>74</v>
      </c>
      <c r="J86" s="27" t="s">
        <v>75</v>
      </c>
      <c r="K86" s="27" t="s">
        <v>75</v>
      </c>
      <c r="L86" s="27" t="s">
        <v>75</v>
      </c>
      <c r="M86" s="27" t="s">
        <v>88</v>
      </c>
      <c r="N86" s="27" t="s">
        <v>647</v>
      </c>
      <c r="O86" s="27" t="s">
        <v>90</v>
      </c>
      <c r="P86" s="28" t="s">
        <v>640</v>
      </c>
      <c r="Q86" s="27" t="s">
        <v>648</v>
      </c>
      <c r="R86" s="29" t="s">
        <v>82</v>
      </c>
      <c r="S86" s="22" t="s">
        <v>37</v>
      </c>
      <c r="T86" s="30" t="n">
        <f aca="false">COUNTIF('Call Log'!$B:$B,A86)</f>
        <v>0</v>
      </c>
      <c r="U86" s="31" t="str">
        <f aca="false">IF(T86=0,"",_xlfn.MAXIFS('Call Log'!$A:$A,'Call Log'!$B:$B,A86))</f>
        <v/>
      </c>
      <c r="V86" s="25"/>
      <c r="W86" s="26"/>
      <c r="X86" s="22"/>
    </row>
    <row r="87" customFormat="false" ht="37.3" hidden="false" customHeight="false" outlineLevel="0" collapsed="false">
      <c r="A87" s="19" t="s">
        <v>649</v>
      </c>
      <c r="B87" s="19" t="s">
        <v>31</v>
      </c>
      <c r="C87" s="19" t="s">
        <v>650</v>
      </c>
      <c r="D87" s="19" t="s">
        <v>69</v>
      </c>
      <c r="E87" s="19" t="s">
        <v>651</v>
      </c>
      <c r="F87" s="19" t="s">
        <v>652</v>
      </c>
      <c r="G87" s="19" t="s">
        <v>653</v>
      </c>
      <c r="H87" s="19" t="s">
        <v>73</v>
      </c>
      <c r="I87" s="19" t="s">
        <v>74</v>
      </c>
      <c r="J87" s="19" t="s">
        <v>75</v>
      </c>
      <c r="K87" s="19" t="s">
        <v>75</v>
      </c>
      <c r="L87" s="19" t="s">
        <v>75</v>
      </c>
      <c r="M87" s="19" t="s">
        <v>88</v>
      </c>
      <c r="N87" s="19" t="s">
        <v>75</v>
      </c>
      <c r="O87" s="19" t="s">
        <v>654</v>
      </c>
      <c r="P87" s="20" t="s">
        <v>640</v>
      </c>
      <c r="Q87" s="19" t="s">
        <v>655</v>
      </c>
      <c r="R87" s="21" t="s">
        <v>82</v>
      </c>
      <c r="S87" s="22" t="s">
        <v>37</v>
      </c>
      <c r="T87" s="23" t="n">
        <f aca="false">COUNTIF('Call Log'!$B:$B,A87)</f>
        <v>0</v>
      </c>
      <c r="U87" s="24" t="str">
        <f aca="false">IF(T87=0,"",_xlfn.MAXIFS('Call Log'!$A:$A,'Call Log'!$B:$B,A87))</f>
        <v/>
      </c>
      <c r="V87" s="25"/>
      <c r="W87" s="26"/>
      <c r="X87" s="22"/>
    </row>
    <row r="88" customFormat="false" ht="49.25" hidden="false" customHeight="false" outlineLevel="0" collapsed="false">
      <c r="A88" s="27" t="s">
        <v>656</v>
      </c>
      <c r="B88" s="27" t="s">
        <v>31</v>
      </c>
      <c r="C88" s="27" t="s">
        <v>657</v>
      </c>
      <c r="D88" s="27" t="s">
        <v>69</v>
      </c>
      <c r="E88" s="27" t="s">
        <v>321</v>
      </c>
      <c r="F88" s="27" t="s">
        <v>361</v>
      </c>
      <c r="G88" s="27" t="s">
        <v>658</v>
      </c>
      <c r="H88" s="27" t="s">
        <v>73</v>
      </c>
      <c r="I88" s="27" t="s">
        <v>74</v>
      </c>
      <c r="J88" s="27" t="s">
        <v>75</v>
      </c>
      <c r="K88" s="27" t="s">
        <v>75</v>
      </c>
      <c r="L88" s="27" t="s">
        <v>75</v>
      </c>
      <c r="M88" s="27" t="s">
        <v>88</v>
      </c>
      <c r="N88" s="27" t="s">
        <v>75</v>
      </c>
      <c r="O88" s="27" t="s">
        <v>90</v>
      </c>
      <c r="P88" s="28" t="s">
        <v>640</v>
      </c>
      <c r="Q88" s="27" t="s">
        <v>659</v>
      </c>
      <c r="R88" s="29" t="s">
        <v>82</v>
      </c>
      <c r="S88" s="22" t="s">
        <v>37</v>
      </c>
      <c r="T88" s="30" t="n">
        <f aca="false">COUNTIF('Call Log'!$B:$B,A88)</f>
        <v>0</v>
      </c>
      <c r="U88" s="31" t="str">
        <f aca="false">IF(T88=0,"",_xlfn.MAXIFS('Call Log'!$A:$A,'Call Log'!$B:$B,A88))</f>
        <v/>
      </c>
      <c r="V88" s="25"/>
      <c r="W88" s="26"/>
      <c r="X88" s="22"/>
    </row>
    <row r="89" customFormat="false" ht="49.25" hidden="false" customHeight="false" outlineLevel="0" collapsed="false">
      <c r="A89" s="19" t="s">
        <v>660</v>
      </c>
      <c r="B89" s="19" t="s">
        <v>31</v>
      </c>
      <c r="C89" s="19" t="s">
        <v>661</v>
      </c>
      <c r="D89" s="19" t="s">
        <v>69</v>
      </c>
      <c r="E89" s="19" t="s">
        <v>662</v>
      </c>
      <c r="F89" s="19" t="s">
        <v>663</v>
      </c>
      <c r="G89" s="19" t="s">
        <v>664</v>
      </c>
      <c r="H89" s="19" t="s">
        <v>73</v>
      </c>
      <c r="I89" s="19" t="s">
        <v>74</v>
      </c>
      <c r="J89" s="19" t="s">
        <v>75</v>
      </c>
      <c r="K89" s="19" t="s">
        <v>75</v>
      </c>
      <c r="L89" s="19" t="s">
        <v>75</v>
      </c>
      <c r="M89" s="19" t="s">
        <v>88</v>
      </c>
      <c r="N89" s="19" t="s">
        <v>75</v>
      </c>
      <c r="O89" s="19" t="s">
        <v>90</v>
      </c>
      <c r="P89" s="20" t="s">
        <v>640</v>
      </c>
      <c r="Q89" s="19" t="s">
        <v>665</v>
      </c>
      <c r="R89" s="21" t="s">
        <v>82</v>
      </c>
      <c r="S89" s="22" t="s">
        <v>37</v>
      </c>
      <c r="T89" s="23" t="n">
        <f aca="false">COUNTIF('Call Log'!$B:$B,A89)</f>
        <v>0</v>
      </c>
      <c r="U89" s="24" t="str">
        <f aca="false">IF(T89=0,"",_xlfn.MAXIFS('Call Log'!$A:$A,'Call Log'!$B:$B,A89))</f>
        <v/>
      </c>
      <c r="V89" s="25"/>
      <c r="W89" s="26"/>
      <c r="X89" s="22"/>
    </row>
    <row r="90" customFormat="false" ht="37.3" hidden="false" customHeight="false" outlineLevel="0" collapsed="false">
      <c r="A90" s="27" t="s">
        <v>666</v>
      </c>
      <c r="B90" s="27" t="s">
        <v>31</v>
      </c>
      <c r="C90" s="27" t="s">
        <v>667</v>
      </c>
      <c r="D90" s="27" t="s">
        <v>69</v>
      </c>
      <c r="E90" s="27" t="s">
        <v>668</v>
      </c>
      <c r="F90" s="27" t="s">
        <v>669</v>
      </c>
      <c r="G90" s="27" t="s">
        <v>670</v>
      </c>
      <c r="H90" s="27" t="s">
        <v>73</v>
      </c>
      <c r="I90" s="27" t="s">
        <v>74</v>
      </c>
      <c r="J90" s="27" t="s">
        <v>75</v>
      </c>
      <c r="K90" s="27" t="s">
        <v>75</v>
      </c>
      <c r="L90" s="27" t="s">
        <v>75</v>
      </c>
      <c r="M90" s="27" t="s">
        <v>88</v>
      </c>
      <c r="N90" s="27" t="s">
        <v>75</v>
      </c>
      <c r="O90" s="27" t="s">
        <v>90</v>
      </c>
      <c r="P90" s="28" t="s">
        <v>640</v>
      </c>
      <c r="Q90" s="27" t="s">
        <v>655</v>
      </c>
      <c r="R90" s="29" t="s">
        <v>82</v>
      </c>
      <c r="S90" s="22" t="s">
        <v>37</v>
      </c>
      <c r="T90" s="30" t="n">
        <f aca="false">COUNTIF('Call Log'!$B:$B,A90)</f>
        <v>0</v>
      </c>
      <c r="U90" s="31" t="str">
        <f aca="false">IF(T90=0,"",_xlfn.MAXIFS('Call Log'!$A:$A,'Call Log'!$B:$B,A90))</f>
        <v/>
      </c>
      <c r="V90" s="25"/>
      <c r="W90" s="26"/>
      <c r="X90" s="22"/>
    </row>
    <row r="91" customFormat="false" ht="49.25" hidden="false" customHeight="false" outlineLevel="0" collapsed="false">
      <c r="A91" s="19" t="s">
        <v>671</v>
      </c>
      <c r="B91" s="19" t="s">
        <v>31</v>
      </c>
      <c r="C91" s="19" t="s">
        <v>672</v>
      </c>
      <c r="D91" s="19" t="s">
        <v>69</v>
      </c>
      <c r="E91" s="19" t="s">
        <v>605</v>
      </c>
      <c r="F91" s="19" t="s">
        <v>673</v>
      </c>
      <c r="G91" s="19" t="s">
        <v>674</v>
      </c>
      <c r="H91" s="19" t="s">
        <v>112</v>
      </c>
      <c r="I91" s="19" t="s">
        <v>675</v>
      </c>
      <c r="J91" s="19" t="s">
        <v>75</v>
      </c>
      <c r="K91" s="19" t="s">
        <v>75</v>
      </c>
      <c r="L91" s="19" t="s">
        <v>75</v>
      </c>
      <c r="M91" s="19" t="s">
        <v>88</v>
      </c>
      <c r="N91" s="19" t="s">
        <v>75</v>
      </c>
      <c r="O91" s="19" t="s">
        <v>676</v>
      </c>
      <c r="P91" s="20" t="s">
        <v>677</v>
      </c>
      <c r="Q91" s="19" t="s">
        <v>678</v>
      </c>
      <c r="R91" s="21" t="s">
        <v>148</v>
      </c>
      <c r="S91" s="22" t="s">
        <v>37</v>
      </c>
      <c r="T91" s="23" t="n">
        <f aca="false">COUNTIF('Call Log'!$B:$B,A91)</f>
        <v>0</v>
      </c>
      <c r="U91" s="24" t="str">
        <f aca="false">IF(T91=0,"",_xlfn.MAXIFS('Call Log'!$A:$A,'Call Log'!$B:$B,A91))</f>
        <v/>
      </c>
      <c r="V91" s="25"/>
      <c r="W91" s="26"/>
      <c r="X91" s="22"/>
    </row>
    <row r="92" customFormat="false" ht="49.25" hidden="false" customHeight="false" outlineLevel="0" collapsed="false">
      <c r="A92" s="27" t="s">
        <v>679</v>
      </c>
      <c r="B92" s="27" t="s">
        <v>31</v>
      </c>
      <c r="C92" s="27" t="s">
        <v>680</v>
      </c>
      <c r="D92" s="27" t="s">
        <v>69</v>
      </c>
      <c r="E92" s="27" t="s">
        <v>644</v>
      </c>
      <c r="F92" s="27" t="s">
        <v>681</v>
      </c>
      <c r="G92" s="27" t="s">
        <v>682</v>
      </c>
      <c r="H92" s="27" t="s">
        <v>112</v>
      </c>
      <c r="I92" s="27" t="s">
        <v>683</v>
      </c>
      <c r="J92" s="27" t="s">
        <v>75</v>
      </c>
      <c r="K92" s="27" t="s">
        <v>75</v>
      </c>
      <c r="L92" s="27" t="s">
        <v>75</v>
      </c>
      <c r="M92" s="27" t="s">
        <v>88</v>
      </c>
      <c r="N92" s="27" t="s">
        <v>75</v>
      </c>
      <c r="O92" s="27" t="s">
        <v>676</v>
      </c>
      <c r="P92" s="28" t="s">
        <v>684</v>
      </c>
      <c r="Q92" s="27" t="s">
        <v>685</v>
      </c>
      <c r="R92" s="29" t="s">
        <v>148</v>
      </c>
      <c r="S92" s="22" t="s">
        <v>37</v>
      </c>
      <c r="T92" s="30" t="n">
        <f aca="false">COUNTIF('Call Log'!$B:$B,A92)</f>
        <v>0</v>
      </c>
      <c r="U92" s="31" t="str">
        <f aca="false">IF(T92=0,"",_xlfn.MAXIFS('Call Log'!$A:$A,'Call Log'!$B:$B,A92))</f>
        <v/>
      </c>
      <c r="V92" s="25"/>
      <c r="W92" s="26"/>
      <c r="X92" s="22"/>
    </row>
    <row r="93" customFormat="false" ht="37.3" hidden="false" customHeight="false" outlineLevel="0" collapsed="false">
      <c r="A93" s="19" t="s">
        <v>686</v>
      </c>
      <c r="B93" s="19" t="s">
        <v>31</v>
      </c>
      <c r="C93" s="19" t="s">
        <v>687</v>
      </c>
      <c r="D93" s="19" t="s">
        <v>69</v>
      </c>
      <c r="E93" s="19" t="s">
        <v>321</v>
      </c>
      <c r="F93" s="19" t="s">
        <v>688</v>
      </c>
      <c r="G93" s="19" t="s">
        <v>689</v>
      </c>
      <c r="H93" s="19" t="s">
        <v>163</v>
      </c>
      <c r="I93" s="19" t="s">
        <v>381</v>
      </c>
      <c r="J93" s="19" t="s">
        <v>75</v>
      </c>
      <c r="K93" s="19" t="s">
        <v>75</v>
      </c>
      <c r="L93" s="19" t="s">
        <v>75</v>
      </c>
      <c r="M93" s="19" t="s">
        <v>88</v>
      </c>
      <c r="N93" s="19" t="s">
        <v>75</v>
      </c>
      <c r="O93" s="19" t="s">
        <v>676</v>
      </c>
      <c r="P93" s="20" t="s">
        <v>690</v>
      </c>
      <c r="Q93" s="19" t="s">
        <v>655</v>
      </c>
      <c r="R93" s="21" t="s">
        <v>148</v>
      </c>
      <c r="S93" s="22" t="s">
        <v>37</v>
      </c>
      <c r="T93" s="23" t="n">
        <f aca="false">COUNTIF('Call Log'!$B:$B,A93)</f>
        <v>0</v>
      </c>
      <c r="U93" s="24" t="str">
        <f aca="false">IF(T93=0,"",_xlfn.MAXIFS('Call Log'!$A:$A,'Call Log'!$B:$B,A93))</f>
        <v/>
      </c>
      <c r="V93" s="25"/>
      <c r="W93" s="26"/>
      <c r="X93" s="22"/>
    </row>
    <row r="94" customFormat="false" ht="37.3" hidden="false" customHeight="false" outlineLevel="0" collapsed="false">
      <c r="A94" s="27" t="s">
        <v>691</v>
      </c>
      <c r="B94" s="27" t="s">
        <v>31</v>
      </c>
      <c r="C94" s="27" t="s">
        <v>692</v>
      </c>
      <c r="D94" s="27" t="s">
        <v>69</v>
      </c>
      <c r="E94" s="27" t="s">
        <v>693</v>
      </c>
      <c r="F94" s="27" t="s">
        <v>694</v>
      </c>
      <c r="G94" s="27" t="s">
        <v>695</v>
      </c>
      <c r="H94" s="27" t="s">
        <v>112</v>
      </c>
      <c r="I94" s="27" t="s">
        <v>696</v>
      </c>
      <c r="J94" s="27" t="s">
        <v>697</v>
      </c>
      <c r="K94" s="27" t="s">
        <v>698</v>
      </c>
      <c r="L94" s="28" t="s">
        <v>699</v>
      </c>
      <c r="M94" s="27" t="s">
        <v>77</v>
      </c>
      <c r="N94" s="27" t="s">
        <v>700</v>
      </c>
      <c r="O94" s="27" t="s">
        <v>701</v>
      </c>
      <c r="P94" s="28" t="s">
        <v>702</v>
      </c>
      <c r="Q94" s="27" t="s">
        <v>703</v>
      </c>
      <c r="R94" s="29" t="s">
        <v>82</v>
      </c>
      <c r="S94" s="22" t="s">
        <v>37</v>
      </c>
      <c r="T94" s="30" t="n">
        <f aca="false">COUNTIF('Call Log'!$B:$B,A94)</f>
        <v>0</v>
      </c>
      <c r="U94" s="31" t="str">
        <f aca="false">IF(T94=0,"",_xlfn.MAXIFS('Call Log'!$A:$A,'Call Log'!$B:$B,A94))</f>
        <v/>
      </c>
      <c r="V94" s="25"/>
      <c r="W94" s="26"/>
      <c r="X94" s="22"/>
    </row>
    <row r="95" customFormat="false" ht="49.25" hidden="false" customHeight="false" outlineLevel="0" collapsed="false">
      <c r="A95" s="19" t="s">
        <v>704</v>
      </c>
      <c r="B95" s="19" t="s">
        <v>31</v>
      </c>
      <c r="C95" s="19" t="s">
        <v>705</v>
      </c>
      <c r="D95" s="19" t="s">
        <v>69</v>
      </c>
      <c r="E95" s="19" t="s">
        <v>706</v>
      </c>
      <c r="F95" s="19" t="s">
        <v>707</v>
      </c>
      <c r="G95" s="19" t="s">
        <v>708</v>
      </c>
      <c r="H95" s="19" t="s">
        <v>112</v>
      </c>
      <c r="I95" s="19" t="s">
        <v>709</v>
      </c>
      <c r="J95" s="19" t="s">
        <v>75</v>
      </c>
      <c r="K95" s="19" t="s">
        <v>75</v>
      </c>
      <c r="L95" s="19" t="s">
        <v>75</v>
      </c>
      <c r="M95" s="19" t="s">
        <v>88</v>
      </c>
      <c r="N95" s="19" t="s">
        <v>75</v>
      </c>
      <c r="O95" s="19" t="s">
        <v>710</v>
      </c>
      <c r="P95" s="20" t="s">
        <v>711</v>
      </c>
      <c r="Q95" s="19" t="s">
        <v>712</v>
      </c>
      <c r="R95" s="21" t="s">
        <v>148</v>
      </c>
      <c r="S95" s="22" t="s">
        <v>37</v>
      </c>
      <c r="T95" s="23" t="n">
        <f aca="false">COUNTIF('Call Log'!$B:$B,A95)</f>
        <v>0</v>
      </c>
      <c r="U95" s="24" t="str">
        <f aca="false">IF(T95=0,"",_xlfn.MAXIFS('Call Log'!$A:$A,'Call Log'!$B:$B,A95))</f>
        <v/>
      </c>
      <c r="V95" s="25"/>
      <c r="W95" s="26"/>
      <c r="X95" s="22"/>
    </row>
    <row r="96" customFormat="false" ht="49.25" hidden="false" customHeight="false" outlineLevel="0" collapsed="false">
      <c r="A96" s="27" t="s">
        <v>713</v>
      </c>
      <c r="B96" s="27" t="s">
        <v>31</v>
      </c>
      <c r="C96" s="27" t="s">
        <v>714</v>
      </c>
      <c r="D96" s="27" t="s">
        <v>69</v>
      </c>
      <c r="E96" s="27" t="s">
        <v>543</v>
      </c>
      <c r="F96" s="27" t="s">
        <v>715</v>
      </c>
      <c r="G96" s="27" t="s">
        <v>716</v>
      </c>
      <c r="H96" s="27" t="s">
        <v>163</v>
      </c>
      <c r="I96" s="27" t="s">
        <v>381</v>
      </c>
      <c r="J96" s="27" t="s">
        <v>75</v>
      </c>
      <c r="K96" s="27" t="s">
        <v>75</v>
      </c>
      <c r="L96" s="27" t="s">
        <v>75</v>
      </c>
      <c r="M96" s="27" t="s">
        <v>88</v>
      </c>
      <c r="N96" s="27" t="s">
        <v>75</v>
      </c>
      <c r="O96" s="27" t="s">
        <v>710</v>
      </c>
      <c r="P96" s="28" t="s">
        <v>717</v>
      </c>
      <c r="Q96" s="27" t="s">
        <v>718</v>
      </c>
      <c r="R96" s="29" t="s">
        <v>148</v>
      </c>
      <c r="S96" s="22" t="s">
        <v>37</v>
      </c>
      <c r="T96" s="30" t="n">
        <f aca="false">COUNTIF('Call Log'!$B:$B,A96)</f>
        <v>0</v>
      </c>
      <c r="U96" s="31" t="str">
        <f aca="false">IF(T96=0,"",_xlfn.MAXIFS('Call Log'!$A:$A,'Call Log'!$B:$B,A96))</f>
        <v/>
      </c>
      <c r="V96" s="25"/>
      <c r="W96" s="26"/>
      <c r="X96" s="22"/>
    </row>
    <row r="97" customFormat="false" ht="49.25" hidden="false" customHeight="false" outlineLevel="0" collapsed="false">
      <c r="A97" s="19" t="s">
        <v>719</v>
      </c>
      <c r="B97" s="19" t="s">
        <v>31</v>
      </c>
      <c r="C97" s="19" t="s">
        <v>720</v>
      </c>
      <c r="D97" s="19" t="s">
        <v>69</v>
      </c>
      <c r="E97" s="19" t="s">
        <v>543</v>
      </c>
      <c r="F97" s="19" t="s">
        <v>721</v>
      </c>
      <c r="G97" s="19" t="s">
        <v>75</v>
      </c>
      <c r="H97" s="19" t="s">
        <v>241</v>
      </c>
      <c r="I97" s="19" t="s">
        <v>75</v>
      </c>
      <c r="J97" s="19" t="s">
        <v>75</v>
      </c>
      <c r="K97" s="19" t="s">
        <v>75</v>
      </c>
      <c r="L97" s="19" t="s">
        <v>75</v>
      </c>
      <c r="M97" s="19" t="s">
        <v>88</v>
      </c>
      <c r="N97" s="19" t="s">
        <v>75</v>
      </c>
      <c r="O97" s="19" t="s">
        <v>710</v>
      </c>
      <c r="P97" s="20" t="s">
        <v>722</v>
      </c>
      <c r="Q97" s="19" t="s">
        <v>723</v>
      </c>
      <c r="R97" s="21" t="s">
        <v>246</v>
      </c>
      <c r="S97" s="22" t="s">
        <v>37</v>
      </c>
      <c r="T97" s="23" t="n">
        <f aca="false">COUNTIF('Call Log'!$B:$B,A97)</f>
        <v>0</v>
      </c>
      <c r="U97" s="24" t="str">
        <f aca="false">IF(T97=0,"",_xlfn.MAXIFS('Call Log'!$A:$A,'Call Log'!$B:$B,A97))</f>
        <v/>
      </c>
      <c r="V97" s="25"/>
      <c r="W97" s="26"/>
      <c r="X97" s="22"/>
    </row>
    <row r="98" customFormat="false" ht="49.25" hidden="false" customHeight="false" outlineLevel="0" collapsed="false">
      <c r="A98" s="27" t="s">
        <v>724</v>
      </c>
      <c r="B98" s="27" t="s">
        <v>31</v>
      </c>
      <c r="C98" s="27" t="s">
        <v>725</v>
      </c>
      <c r="D98" s="27" t="s">
        <v>69</v>
      </c>
      <c r="E98" s="27" t="s">
        <v>726</v>
      </c>
      <c r="F98" s="27" t="s">
        <v>727</v>
      </c>
      <c r="G98" s="27" t="s">
        <v>728</v>
      </c>
      <c r="H98" s="27" t="s">
        <v>163</v>
      </c>
      <c r="I98" s="27" t="s">
        <v>381</v>
      </c>
      <c r="J98" s="27" t="s">
        <v>75</v>
      </c>
      <c r="K98" s="27" t="s">
        <v>75</v>
      </c>
      <c r="L98" s="27" t="s">
        <v>75</v>
      </c>
      <c r="M98" s="27" t="s">
        <v>88</v>
      </c>
      <c r="N98" s="27" t="s">
        <v>75</v>
      </c>
      <c r="O98" s="27" t="s">
        <v>710</v>
      </c>
      <c r="P98" s="28" t="s">
        <v>711</v>
      </c>
      <c r="Q98" s="27" t="s">
        <v>729</v>
      </c>
      <c r="R98" s="29" t="s">
        <v>148</v>
      </c>
      <c r="S98" s="22" t="s">
        <v>37</v>
      </c>
      <c r="T98" s="30" t="n">
        <f aca="false">COUNTIF('Call Log'!$B:$B,A98)</f>
        <v>0</v>
      </c>
      <c r="U98" s="31" t="str">
        <f aca="false">IF(T98=0,"",_xlfn.MAXIFS('Call Log'!$A:$A,'Call Log'!$B:$B,A98))</f>
        <v/>
      </c>
      <c r="V98" s="25"/>
      <c r="W98" s="26"/>
      <c r="X98" s="22"/>
    </row>
    <row r="99" customFormat="false" ht="37.3" hidden="false" customHeight="false" outlineLevel="0" collapsed="false">
      <c r="A99" s="19" t="s">
        <v>730</v>
      </c>
      <c r="B99" s="19" t="s">
        <v>31</v>
      </c>
      <c r="C99" s="19" t="s">
        <v>731</v>
      </c>
      <c r="D99" s="19" t="s">
        <v>69</v>
      </c>
      <c r="E99" s="19" t="s">
        <v>732</v>
      </c>
      <c r="F99" s="19" t="s">
        <v>733</v>
      </c>
      <c r="G99" s="19" t="s">
        <v>75</v>
      </c>
      <c r="H99" s="19" t="s">
        <v>241</v>
      </c>
      <c r="I99" s="19" t="s">
        <v>75</v>
      </c>
      <c r="J99" s="19" t="s">
        <v>75</v>
      </c>
      <c r="K99" s="19" t="s">
        <v>75</v>
      </c>
      <c r="L99" s="19" t="s">
        <v>75</v>
      </c>
      <c r="M99" s="19" t="s">
        <v>88</v>
      </c>
      <c r="N99" s="19" t="s">
        <v>75</v>
      </c>
      <c r="O99" s="19" t="s">
        <v>90</v>
      </c>
      <c r="P99" s="20" t="s">
        <v>640</v>
      </c>
      <c r="Q99" s="19" t="s">
        <v>655</v>
      </c>
      <c r="R99" s="21" t="s">
        <v>246</v>
      </c>
      <c r="S99" s="22" t="s">
        <v>37</v>
      </c>
      <c r="T99" s="23" t="n">
        <f aca="false">COUNTIF('Call Log'!$B:$B,A99)</f>
        <v>0</v>
      </c>
      <c r="U99" s="24" t="str">
        <f aca="false">IF(T99=0,"",_xlfn.MAXIFS('Call Log'!$A:$A,'Call Log'!$B:$B,A99))</f>
        <v/>
      </c>
      <c r="V99" s="25"/>
      <c r="W99" s="26"/>
      <c r="X99" s="22"/>
    </row>
    <row r="100" customFormat="false" ht="49.25" hidden="false" customHeight="false" outlineLevel="0" collapsed="false">
      <c r="A100" s="27" t="s">
        <v>734</v>
      </c>
      <c r="B100" s="27" t="s">
        <v>31</v>
      </c>
      <c r="C100" s="27" t="s">
        <v>735</v>
      </c>
      <c r="D100" s="27" t="s">
        <v>69</v>
      </c>
      <c r="E100" s="27" t="s">
        <v>736</v>
      </c>
      <c r="F100" s="27" t="s">
        <v>737</v>
      </c>
      <c r="G100" s="27" t="s">
        <v>75</v>
      </c>
      <c r="H100" s="27" t="s">
        <v>241</v>
      </c>
      <c r="I100" s="27" t="s">
        <v>75</v>
      </c>
      <c r="J100" s="27" t="s">
        <v>75</v>
      </c>
      <c r="K100" s="27" t="s">
        <v>75</v>
      </c>
      <c r="L100" s="27" t="s">
        <v>75</v>
      </c>
      <c r="M100" s="27" t="s">
        <v>88</v>
      </c>
      <c r="N100" s="27" t="s">
        <v>75</v>
      </c>
      <c r="O100" s="27" t="s">
        <v>90</v>
      </c>
      <c r="P100" s="28" t="s">
        <v>640</v>
      </c>
      <c r="Q100" s="27" t="s">
        <v>738</v>
      </c>
      <c r="R100" s="29" t="s">
        <v>246</v>
      </c>
      <c r="S100" s="22" t="s">
        <v>37</v>
      </c>
      <c r="T100" s="30" t="n">
        <f aca="false">COUNTIF('Call Log'!$B:$B,A100)</f>
        <v>0</v>
      </c>
      <c r="U100" s="31" t="str">
        <f aca="false">IF(T100=0,"",_xlfn.MAXIFS('Call Log'!$A:$A,'Call Log'!$B:$B,A100))</f>
        <v/>
      </c>
      <c r="V100" s="25"/>
      <c r="W100" s="26"/>
      <c r="X100" s="22"/>
    </row>
    <row r="101" customFormat="false" ht="37.3" hidden="false" customHeight="false" outlineLevel="0" collapsed="false">
      <c r="A101" s="19" t="s">
        <v>739</v>
      </c>
      <c r="B101" s="19" t="s">
        <v>31</v>
      </c>
      <c r="C101" s="19" t="s">
        <v>740</v>
      </c>
      <c r="D101" s="19" t="s">
        <v>69</v>
      </c>
      <c r="E101" s="19" t="s">
        <v>160</v>
      </c>
      <c r="F101" s="19" t="s">
        <v>491</v>
      </c>
      <c r="G101" s="19" t="s">
        <v>75</v>
      </c>
      <c r="H101" s="19" t="s">
        <v>241</v>
      </c>
      <c r="I101" s="19" t="s">
        <v>75</v>
      </c>
      <c r="J101" s="19" t="s">
        <v>75</v>
      </c>
      <c r="K101" s="19" t="s">
        <v>75</v>
      </c>
      <c r="L101" s="19" t="s">
        <v>75</v>
      </c>
      <c r="M101" s="19" t="s">
        <v>88</v>
      </c>
      <c r="N101" s="19" t="s">
        <v>75</v>
      </c>
      <c r="O101" s="19" t="s">
        <v>90</v>
      </c>
      <c r="P101" s="20" t="s">
        <v>640</v>
      </c>
      <c r="Q101" s="19" t="s">
        <v>655</v>
      </c>
      <c r="R101" s="21" t="s">
        <v>246</v>
      </c>
      <c r="S101" s="22" t="s">
        <v>37</v>
      </c>
      <c r="T101" s="23" t="n">
        <f aca="false">COUNTIF('Call Log'!$B:$B,A101)</f>
        <v>0</v>
      </c>
      <c r="U101" s="24" t="str">
        <f aca="false">IF(T101=0,"",_xlfn.MAXIFS('Call Log'!$A:$A,'Call Log'!$B:$B,A101))</f>
        <v/>
      </c>
      <c r="V101" s="25"/>
      <c r="W101" s="26"/>
      <c r="X101" s="22"/>
    </row>
    <row r="102" customFormat="false" ht="37.3" hidden="false" customHeight="false" outlineLevel="0" collapsed="false">
      <c r="A102" s="27" t="s">
        <v>741</v>
      </c>
      <c r="B102" s="27" t="s">
        <v>31</v>
      </c>
      <c r="C102" s="27" t="s">
        <v>742</v>
      </c>
      <c r="D102" s="27" t="s">
        <v>69</v>
      </c>
      <c r="E102" s="27" t="s">
        <v>160</v>
      </c>
      <c r="F102" s="27" t="s">
        <v>491</v>
      </c>
      <c r="G102" s="27" t="s">
        <v>75</v>
      </c>
      <c r="H102" s="27" t="s">
        <v>241</v>
      </c>
      <c r="I102" s="27" t="s">
        <v>75</v>
      </c>
      <c r="J102" s="27" t="s">
        <v>75</v>
      </c>
      <c r="K102" s="27" t="s">
        <v>75</v>
      </c>
      <c r="L102" s="27" t="s">
        <v>75</v>
      </c>
      <c r="M102" s="27" t="s">
        <v>88</v>
      </c>
      <c r="N102" s="27" t="s">
        <v>75</v>
      </c>
      <c r="O102" s="27" t="s">
        <v>90</v>
      </c>
      <c r="P102" s="28" t="s">
        <v>640</v>
      </c>
      <c r="Q102" s="27" t="s">
        <v>655</v>
      </c>
      <c r="R102" s="29" t="s">
        <v>246</v>
      </c>
      <c r="S102" s="22" t="s">
        <v>37</v>
      </c>
      <c r="T102" s="30" t="n">
        <f aca="false">COUNTIF('Call Log'!$B:$B,A102)</f>
        <v>0</v>
      </c>
      <c r="U102" s="31" t="str">
        <f aca="false">IF(T102=0,"",_xlfn.MAXIFS('Call Log'!$A:$A,'Call Log'!$B:$B,A102))</f>
        <v/>
      </c>
      <c r="V102" s="25"/>
      <c r="W102" s="26"/>
      <c r="X102" s="22"/>
    </row>
    <row r="103" customFormat="false" ht="37.3" hidden="false" customHeight="false" outlineLevel="0" collapsed="false">
      <c r="A103" s="19" t="s">
        <v>743</v>
      </c>
      <c r="B103" s="19" t="s">
        <v>31</v>
      </c>
      <c r="C103" s="19" t="s">
        <v>744</v>
      </c>
      <c r="D103" s="19" t="s">
        <v>69</v>
      </c>
      <c r="E103" s="19" t="s">
        <v>745</v>
      </c>
      <c r="F103" s="19" t="s">
        <v>746</v>
      </c>
      <c r="G103" s="19" t="s">
        <v>75</v>
      </c>
      <c r="H103" s="19" t="s">
        <v>241</v>
      </c>
      <c r="I103" s="19" t="s">
        <v>75</v>
      </c>
      <c r="J103" s="19" t="s">
        <v>75</v>
      </c>
      <c r="K103" s="19" t="s">
        <v>75</v>
      </c>
      <c r="L103" s="19" t="s">
        <v>75</v>
      </c>
      <c r="M103" s="19" t="s">
        <v>88</v>
      </c>
      <c r="N103" s="19" t="s">
        <v>75</v>
      </c>
      <c r="O103" s="19" t="s">
        <v>90</v>
      </c>
      <c r="P103" s="20" t="s">
        <v>640</v>
      </c>
      <c r="Q103" s="19" t="s">
        <v>655</v>
      </c>
      <c r="R103" s="21" t="s">
        <v>246</v>
      </c>
      <c r="S103" s="22" t="s">
        <v>37</v>
      </c>
      <c r="T103" s="23" t="n">
        <f aca="false">COUNTIF('Call Log'!$B:$B,A103)</f>
        <v>0</v>
      </c>
      <c r="U103" s="24" t="str">
        <f aca="false">IF(T103=0,"",_xlfn.MAXIFS('Call Log'!$A:$A,'Call Log'!$B:$B,A103))</f>
        <v/>
      </c>
      <c r="V103" s="25"/>
      <c r="W103" s="26"/>
      <c r="X103" s="22"/>
    </row>
    <row r="104" customFormat="false" ht="49.25" hidden="false" customHeight="false" outlineLevel="0" collapsed="false">
      <c r="A104" s="27" t="s">
        <v>747</v>
      </c>
      <c r="B104" s="27" t="s">
        <v>31</v>
      </c>
      <c r="C104" s="27" t="s">
        <v>748</v>
      </c>
      <c r="D104" s="27" t="s">
        <v>69</v>
      </c>
      <c r="E104" s="27" t="s">
        <v>749</v>
      </c>
      <c r="F104" s="27" t="s">
        <v>750</v>
      </c>
      <c r="G104" s="27" t="s">
        <v>75</v>
      </c>
      <c r="H104" s="27" t="s">
        <v>241</v>
      </c>
      <c r="I104" s="27" t="s">
        <v>75</v>
      </c>
      <c r="J104" s="27" t="s">
        <v>75</v>
      </c>
      <c r="K104" s="27" t="s">
        <v>75</v>
      </c>
      <c r="L104" s="27" t="s">
        <v>75</v>
      </c>
      <c r="M104" s="27" t="s">
        <v>88</v>
      </c>
      <c r="N104" s="27" t="s">
        <v>75</v>
      </c>
      <c r="O104" s="27" t="s">
        <v>710</v>
      </c>
      <c r="P104" s="28" t="s">
        <v>711</v>
      </c>
      <c r="Q104" s="27" t="s">
        <v>751</v>
      </c>
      <c r="R104" s="29" t="s">
        <v>246</v>
      </c>
      <c r="S104" s="22" t="s">
        <v>37</v>
      </c>
      <c r="T104" s="30" t="n">
        <f aca="false">COUNTIF('Call Log'!$B:$B,A104)</f>
        <v>0</v>
      </c>
      <c r="U104" s="31" t="str">
        <f aca="false">IF(T104=0,"",_xlfn.MAXIFS('Call Log'!$A:$A,'Call Log'!$B:$B,A104))</f>
        <v/>
      </c>
      <c r="V104" s="25"/>
      <c r="W104" s="26"/>
      <c r="X104" s="22"/>
    </row>
    <row r="105" customFormat="false" ht="37.3" hidden="false" customHeight="false" outlineLevel="0" collapsed="false">
      <c r="A105" s="19" t="s">
        <v>752</v>
      </c>
      <c r="B105" s="19" t="s">
        <v>31</v>
      </c>
      <c r="C105" s="19" t="s">
        <v>753</v>
      </c>
      <c r="D105" s="19" t="s">
        <v>69</v>
      </c>
      <c r="E105" s="19" t="s">
        <v>726</v>
      </c>
      <c r="F105" s="19" t="s">
        <v>727</v>
      </c>
      <c r="G105" s="19" t="s">
        <v>75</v>
      </c>
      <c r="H105" s="19" t="s">
        <v>241</v>
      </c>
      <c r="I105" s="19" t="s">
        <v>75</v>
      </c>
      <c r="J105" s="19" t="s">
        <v>75</v>
      </c>
      <c r="K105" s="19" t="s">
        <v>75</v>
      </c>
      <c r="L105" s="19" t="s">
        <v>75</v>
      </c>
      <c r="M105" s="19" t="s">
        <v>88</v>
      </c>
      <c r="N105" s="19" t="s">
        <v>75</v>
      </c>
      <c r="O105" s="19" t="s">
        <v>710</v>
      </c>
      <c r="P105" s="20" t="s">
        <v>711</v>
      </c>
      <c r="Q105" s="19" t="s">
        <v>655</v>
      </c>
      <c r="R105" s="21" t="s">
        <v>246</v>
      </c>
      <c r="S105" s="22" t="s">
        <v>37</v>
      </c>
      <c r="T105" s="23" t="n">
        <f aca="false">COUNTIF('Call Log'!$B:$B,A105)</f>
        <v>0</v>
      </c>
      <c r="U105" s="24" t="str">
        <f aca="false">IF(T105=0,"",_xlfn.MAXIFS('Call Log'!$A:$A,'Call Log'!$B:$B,A105))</f>
        <v/>
      </c>
      <c r="V105" s="25"/>
      <c r="W105" s="26"/>
      <c r="X105" s="22"/>
    </row>
    <row r="106" customFormat="false" ht="49.25" hidden="false" customHeight="false" outlineLevel="0" collapsed="false">
      <c r="A106" s="27" t="s">
        <v>754</v>
      </c>
      <c r="B106" s="27" t="s">
        <v>31</v>
      </c>
      <c r="C106" s="27" t="s">
        <v>755</v>
      </c>
      <c r="D106" s="27" t="s">
        <v>69</v>
      </c>
      <c r="E106" s="27" t="s">
        <v>749</v>
      </c>
      <c r="F106" s="27" t="s">
        <v>750</v>
      </c>
      <c r="G106" s="27" t="s">
        <v>75</v>
      </c>
      <c r="H106" s="27" t="s">
        <v>241</v>
      </c>
      <c r="I106" s="27" t="s">
        <v>75</v>
      </c>
      <c r="J106" s="27" t="s">
        <v>75</v>
      </c>
      <c r="K106" s="27" t="s">
        <v>75</v>
      </c>
      <c r="L106" s="27" t="s">
        <v>75</v>
      </c>
      <c r="M106" s="27" t="s">
        <v>88</v>
      </c>
      <c r="N106" s="27" t="s">
        <v>75</v>
      </c>
      <c r="O106" s="27" t="s">
        <v>323</v>
      </c>
      <c r="P106" s="28" t="s">
        <v>756</v>
      </c>
      <c r="Q106" s="27" t="s">
        <v>757</v>
      </c>
      <c r="R106" s="29" t="s">
        <v>246</v>
      </c>
      <c r="S106" s="22" t="s">
        <v>37</v>
      </c>
      <c r="T106" s="30" t="n">
        <f aca="false">COUNTIF('Call Log'!$B:$B,A106)</f>
        <v>0</v>
      </c>
      <c r="U106" s="31" t="str">
        <f aca="false">IF(T106=0,"",_xlfn.MAXIFS('Call Log'!$A:$A,'Call Log'!$B:$B,A106))</f>
        <v/>
      </c>
      <c r="V106" s="25"/>
      <c r="W106" s="26"/>
      <c r="X106" s="22"/>
    </row>
  </sheetData>
  <autoFilter ref="A4:X106"/>
  <mergeCells count="1">
    <mergeCell ref="A2:X2"/>
  </mergeCells>
  <conditionalFormatting sqref="R5:R400">
    <cfRule type="cellIs" priority="2" operator="equal" aboveAverage="0" equalAverage="0" bottom="0" percent="0" rank="0" text="" dxfId="6">
      <formula>"Hot"</formula>
    </cfRule>
  </conditionalFormatting>
  <conditionalFormatting sqref="S5:S400">
    <cfRule type="cellIs" priority="3" operator="equal" aboveAverage="0" equalAverage="0" bottom="0" percent="0" rank="0" text="" dxfId="6">
      <formula>"Converted"</formula>
    </cfRule>
  </conditionalFormatting>
  <conditionalFormatting sqref="M5:M400">
    <cfRule type="expression" priority="4" aboveAverage="0" equalAverage="0" bottom="0" percent="0" rank="0" text="" dxfId="7">
      <formula>LEFT(M5,2)="No"</formula>
    </cfRule>
  </conditionalFormatting>
  <dataValidations count="3">
    <dataValidation allowBlank="true" errorStyle="stop" operator="between" showDropDown="false" showErrorMessage="false" showInputMessage="false" sqref="S5:S400" type="list">
      <formula1>"Not Contacted,Called - No Answer,Called - Call Back Later,Interested,Meeting / Proposal Sent,Converted,Not Interested,Invalid Number"</formula1>
      <formula2>0</formula2>
    </dataValidation>
    <dataValidation allowBlank="true" errorStyle="stop" operator="between" showDropDown="false" showErrorMessage="false" showInputMessage="false" sqref="R5:R400" type="list">
      <formula1>"Hot,Warm,Cold"</formula1>
      <formula2>0</formula2>
    </dataValidation>
    <dataValidation allowBlank="true" errorStyle="stop" operator="between" showDropDown="false" showErrorMessage="false" showInputMessage="false" sqref="B5:B400" type="list">
      <formula1>"Solar Installation,Spice Brand,Food Manufacturer,Interior Design,Furniture Shop"</formula1>
      <formula2>0</formula2>
    </dataValidation>
  </dataValidations>
  <hyperlinks>
    <hyperlink ref="L5" r:id="rId2" display="aadithyainnovations.com"/>
    <hyperlink ref="P5" r:id="rId3" display="https://www.justdial.com/Thiruvananthapuram/Residential-Solar-Panel-Installation-Services/nct-12154454"/>
    <hyperlink ref="P6" r:id="rId4" display="https://www.justdial.com/Thiruvananthapuram/Residential-Solar-Panel-Installation-Services/nct-12154454"/>
    <hyperlink ref="P7" r:id="rId5" display="https://www.justdial.com/Thiruvananthapuram/Residential-Solar-Panel-Installation-Services/nct-12154454"/>
    <hyperlink ref="P8" r:id="rId6" display="https://www.justdial.com/Thiruvananthapuram/Residential-Solar-Panel-Installation-Services/nct-12154454"/>
    <hyperlink ref="P9" r:id="rId7" display="https://www.justdial.com/Thiruvananthapuram/Residential-Solar-Panel-Installation-Services/nct-12154454"/>
    <hyperlink ref="L10" r:id="rId8" display="rudraveenasolutions.com"/>
    <hyperlink ref="P10" r:id="rId9" display="https://www.rudraveenasolutions.com/"/>
    <hyperlink ref="P11" r:id="rId10" display="https://www.justdial.com/Thiruvananthapuram/Residential-Solar-Panel-Installation-Services/nct-12154454"/>
    <hyperlink ref="L12" r:id="rId11" display="lightskyinternational.com"/>
    <hyperlink ref="P12" r:id="rId12" display="https://lightskyinternational.com/"/>
    <hyperlink ref="P13" r:id="rId13" display="https://ekiran.kseb.in/documents/2%20and%20upto%203.pdf"/>
    <hyperlink ref="P14" r:id="rId14" display="https://ekiran.kseb.in/documents/2%20and%20upto%203.pdf"/>
    <hyperlink ref="L15" r:id="rId15" display="bsssolar.com"/>
    <hyperlink ref="P15" r:id="rId16" display="https://bsssolar.com/"/>
    <hyperlink ref="L16" r:id="rId17" display="ongridsolarpowersolutions.com"/>
    <hyperlink ref="P16" r:id="rId18" display="https://www.ongridsolarpowersolutions.com/"/>
    <hyperlink ref="L17" r:id="rId19" display="greenfactoryindia.com"/>
    <hyperlink ref="P17" r:id="rId20" display="https://greenfactoryindia.com/contact-us"/>
    <hyperlink ref="L18" r:id="rId21" display="sensol.in"/>
    <hyperlink ref="P18" r:id="rId22" display="https://sensol.in/contact-us/"/>
    <hyperlink ref="L19" r:id="rId23" display="vaigaapowersolutions.in"/>
    <hyperlink ref="P19" r:id="rId24" display="https://vaigaapowersolutions.in/"/>
    <hyperlink ref="L20" r:id="rId25" display="comorinsolar.com"/>
    <hyperlink ref="P20" r:id="rId26" display="https://www.comorinsolar.com/"/>
    <hyperlink ref="P21" r:id="rId27" display="https://vguardsolartvm.com/"/>
    <hyperlink ref="L22" r:id="rId28" display="wegasolar.in"/>
    <hyperlink ref="P22" r:id="rId29" display="https://www.wegasolar.in/"/>
    <hyperlink ref="L23" r:id="rId30" display="mitrapower.in"/>
    <hyperlink ref="P23" r:id="rId31" display="https://www.enfsolar.com/mitra-power-solutions"/>
    <hyperlink ref="L24" r:id="rId32" display="hivesolar.com"/>
    <hyperlink ref="P24" r:id="rId33" display="https://www.enfsolar.com/hive-solar"/>
    <hyperlink ref="L25" r:id="rId34" display="raytechnologiestvm.com"/>
    <hyperlink ref="P25" r:id="rId35" display="https://www.enfsolar.com/ray-technologies"/>
    <hyperlink ref="L26" r:id="rId36" display="premierprojects.in"/>
    <hyperlink ref="P26" r:id="rId37" display="https://www.enfsolar.com/premier-projects"/>
    <hyperlink ref="L27" r:id="rId38" display="smartsolarglobal.com"/>
    <hyperlink ref="P27" r:id="rId39" display="https://www.enfsolar.com/smart-solar-5"/>
    <hyperlink ref="L28" r:id="rId40" display="greensun.in"/>
    <hyperlink ref="P28" r:id="rId41" display="https://www.enfsolar.com/green-sun-2"/>
    <hyperlink ref="L29" r:id="rId42" display="enegix.co.in"/>
    <hyperlink ref="P29" r:id="rId43" display="https://www.enfsolar.com/enegix-enterprises"/>
    <hyperlink ref="L30" r:id="rId44" display="elsol.co.in"/>
    <hyperlink ref="P30" r:id="rId45" display="https://elsol.co.in/locations/solar-company-in-trivandrum/"/>
    <hyperlink ref="L31" r:id="rId46" display="azadspicegardens.com"/>
    <hyperlink ref="P31" r:id="rId47" display="https://azadazad.com/contact-us/"/>
    <hyperlink ref="L32" r:id="rId48" display="kuruvispice.com"/>
    <hyperlink ref="P32" r:id="rId49" display="https://www.kuruvispice.com/policies/contact-information"/>
    <hyperlink ref="P33" r:id="rId50" display="https://www.indiamart.com/spicegardenfoods/"/>
    <hyperlink ref="P34" r:id="rId51" display="https://www.indiamart.com/badrinath-enterprises-thiruvananthapuram/spice-powder.html"/>
    <hyperlink ref="P35" r:id="rId52" display="https://spiceexportersdirectory.com/company/north-malabar-spices-company-thiruvananthapuram-wayanad-kerala-india/"/>
    <hyperlink ref="P36" r:id="rId53" display="https://m.indiamart.com/kadaas/"/>
    <hyperlink ref="P37" r:id="rId54" display="https://m.indiamart.com/henson-industries"/>
    <hyperlink ref="P38" r:id="rId55" display="https://m.indiamart.com/a-j-spices"/>
    <hyperlink ref="P39" r:id="rId56" display="https://www.globallinker.com/seller/bitepep"/>
    <hyperlink ref="P40" r:id="rId57" display="https://www.justdial.com/Thiruvananthapuram/Masala-Powder-Manufacturers/nct-10313263"/>
    <hyperlink ref="P41" r:id="rId58" display="https://dir.indiamart.com/thiruvananthapuram/spices.html"/>
    <hyperlink ref="P42" r:id="rId59" display="https://dir.indiamart.com/thiruvananthapuram/spices.html"/>
    <hyperlink ref="P43" r:id="rId60" display="https://foodcompaniesdirectory.com/companies/nilamels-kaimals-foods-trivandrum-kerala-india/"/>
    <hyperlink ref="P44" r:id="rId61" display="https://dir.indiamart.com/thiruvananthapuram/banana-chips.html"/>
    <hyperlink ref="P45" r:id="rId62" display="https://www.indiamart.com/asian-food-products/"/>
    <hyperlink ref="P46" r:id="rId63" display="https://dir.indiamart.com/thiruvananthapuram/banana-chips.html"/>
    <hyperlink ref="P47" r:id="rId64" display="https://dir.indiamart.com/thiruvananthapuram/banana-chips.html"/>
    <hyperlink ref="L48" r:id="rId65" display="skchips.in"/>
    <hyperlink ref="P48" r:id="rId66" display="https://www.skchips.in/"/>
    <hyperlink ref="L49" r:id="rId67" display="drfoodnutri.com"/>
    <hyperlink ref="P49" r:id="rId68" display="https://www.drfoodnutri.com/"/>
    <hyperlink ref="P50" r:id="rId69" display="https://dir.indiamart.com/thiruvananthapuram/snack-foods.html"/>
    <hyperlink ref="P51" r:id="rId70" display="https://www.indiamart.com/jyothys-snacks/snack-foods.html"/>
    <hyperlink ref="P52" r:id="rId71" display="https://www.exportersindia.com/kerala/rice-flour.htm"/>
    <hyperlink ref="P53" r:id="rId72" display="https://www.dnb.com/business-directory/company-information.food_manufacturing.in.kerala.thiruvananthapuram.html"/>
    <hyperlink ref="P54" r:id="rId73" display="https://www.dnb.com/business-directory/company-information.food_manufacturing.in.kerala.thiruvananthapuram.html"/>
    <hyperlink ref="P55" r:id="rId74" display="https://www.dnb.com/business-directory/company-information.food_manufacturing.in.kerala.thiruvananthapuram.html"/>
    <hyperlink ref="P56" r:id="rId75" display="https://www.indiamart.com/bread-factory/aboutus.html"/>
    <hyperlink ref="P57" r:id="rId76" display="https://dir.indiamart.com/thiruvananthapuram/bakery-products.html"/>
    <hyperlink ref="P58" r:id="rId77" display="https://dir.indiamart.com/thiruvananthapuram/bakery-products.html"/>
    <hyperlink ref="P59" r:id="rId78" display="https://dir.indiamart.com/thiruvananthapuram/bakery-products.html"/>
    <hyperlink ref="P60" r:id="rId79" display="https://www.InstaFinancials.com/company/jeevda-foods-private-limited/U51900KL2019PTC056744"/>
    <hyperlink ref="P61" r:id="rId80" display="https://www.zaubacorp.com/company-by-address/PLOT-NO-A39--KINFRA-PARK-MENAMKULAM--MENAMKULAM-P-O-----TRIVANDRUM--KERALA--INDIA---695582"/>
    <hyperlink ref="P62" r:id="rId81" display="https://archinect.com/deconinfratech"/>
    <hyperlink ref="P63" r:id="rId82" display="https://in.worldorgs.com/catalog/thiruvananthapuram/interior-designer/idesigns"/>
    <hyperlink ref="P64" r:id="rId83" display="https://koloapp.in/kerala/flooring-experts/sajeev-s-8--thiruvananthapuram/posts/1628744734"/>
    <hyperlink ref="P65" r:id="rId84" display="https://interiordesign.gkwretail.com/interior-designers-in-trivandrum/"/>
    <hyperlink ref="L66" r:id="rId85" display="atlasinteriors.in"/>
    <hyperlink ref="P66" r:id="rId86" display="https://atlasinteriors.in/trivandrum/"/>
    <hyperlink ref="L67" r:id="rId87" display="gazellainteriors.com"/>
    <hyperlink ref="P67" r:id="rId88" display="https://gazellainteriors.com/"/>
    <hyperlink ref="P68" r:id="rId89" display="https://interiordesign.gkwretail.com/interior-designers-in-trivandrum/"/>
    <hyperlink ref="P69" r:id="rId90" display="https://www.justdial.com/Thiruvananthapuram/Perfect-Interiors-Opposite-Kowdiar-Palace-Kowdiar/0471PX471-X471-160601164311-E4E8_BZDET"/>
    <hyperlink ref="P70" r:id="rId91" display="https://www.justdial.com/Thiruvananthapuram/Interior-Designers-in-Pattom/nct-10272436"/>
    <hyperlink ref="P71" r:id="rId92" display="https://www.justdial.com/Thiruvananthapuram/Interior-Designers-in-Kowdiar/nct-10272436"/>
    <hyperlink ref="P72" r:id="rId93" display="https://www.justdial.com/Thiruvananthapuram/Interior-Designers-in-Pattom/nct-10272436"/>
    <hyperlink ref="P73" r:id="rId94" display="https://www.justdial.com/Thiruvananthapuram/Interior-Designers-in-Kazhakuttam/nct-10272436"/>
    <hyperlink ref="P74" r:id="rId95" display="https://www.justdial.com/Thiruvananthapuram/Interior-Designers-in-Kazhakuttam/nct-10272436"/>
    <hyperlink ref="L75" r:id="rId96" display="vudpecker.com"/>
    <hyperlink ref="P75" r:id="rId97" display="https://www.vudpecker.com/"/>
    <hyperlink ref="L76" r:id="rId98" display="woodlessinteriors.com"/>
    <hyperlink ref="P76" r:id="rId99" display="https://woodlessinteriors.com/contacts/"/>
    <hyperlink ref="L77" r:id="rId100" display="gudinteriors.com"/>
    <hyperlink ref="P77" r:id="rId101" display="https://gudinteriors.com/"/>
    <hyperlink ref="L78" r:id="rId102" display="spicewood.in"/>
    <hyperlink ref="P78" r:id="rId103" display="https://www.spicewood.in/"/>
    <hyperlink ref="L79" r:id="rId104" display="woodshine.in"/>
    <hyperlink ref="P79" r:id="rId105" display="https://woodshine.in/contact-us/"/>
    <hyperlink ref="L80" r:id="rId106" display="drinterio.com"/>
    <hyperlink ref="P80" r:id="rId107" display="https://drinterio.com/"/>
    <hyperlink ref="L81" r:id="rId108" display="whitepaperinteriors.com"/>
    <hyperlink ref="P81" r:id="rId109" display="https://whitepaperinteriors.com/"/>
    <hyperlink ref="L82" r:id="rId110" display="fortunexperience.com"/>
    <hyperlink ref="P82" r:id="rId111" display="https://www.fortunexperience.com/services-interior-design-trivandrum/"/>
    <hyperlink ref="L83" r:id="rId112" display="vcinteriors.in"/>
    <hyperlink ref="P83" r:id="rId113" display="https://vcinteriors.in/"/>
    <hyperlink ref="P84" r:id="rId114" display="https://business-kerala.com/directory/listing/interior-designers-trivandrum"/>
    <hyperlink ref="P85" r:id="rId115" display="https://www.justdial.com/Thiruvananthapuram/Wooden-Furniture-Dealers/nct-10542688"/>
    <hyperlink ref="P86" r:id="rId116" display="https://www.justdial.com/Thiruvananthapuram/Wooden-Furniture-Dealers/nct-10542688"/>
    <hyperlink ref="P87" r:id="rId117" display="https://www.justdial.com/Thiruvananthapuram/Wooden-Furniture-Dealers/nct-10542688"/>
    <hyperlink ref="P88" r:id="rId118" display="https://www.justdial.com/Thiruvananthapuram/Wooden-Furniture-Dealers/nct-10542688"/>
    <hyperlink ref="P89" r:id="rId119" display="https://www.justdial.com/Thiruvananthapuram/Wooden-Furniture-Dealers/nct-10542688"/>
    <hyperlink ref="P90" r:id="rId120" display="https://www.justdial.com/Thiruvananthapuram/Wooden-Furniture-Dealers/nct-10542688"/>
    <hyperlink ref="P91" r:id="rId121" display="https://yappe.in/kerala/thiruvananthapuram/antique-home-decor/1710171"/>
    <hyperlink ref="P92" r:id="rId122" display="https://yappe.in/kerala/thiruvananthapuram/sofas-more-by-stanley-trivandrum/1710175"/>
    <hyperlink ref="P93" r:id="rId123" display="https://yappe.in/kerala/thiruvananthapuram/furniture-centre/1710214"/>
    <hyperlink ref="L94" r:id="rId124" display="thomsonfurniture.in"/>
    <hyperlink ref="P94" r:id="rId125" display="https://thomsonfurniture.in/"/>
    <hyperlink ref="P95" r:id="rId126" display="https://www.quickerala.com/trivandrum/furniture-and-fixtures/furniture-shop/sbct-8435-dt-12"/>
    <hyperlink ref="P96" r:id="rId127" display="https://www.quickerala.com/trivandrum/kazhakkoottam/popular-furniture/84412"/>
    <hyperlink ref="P97" r:id="rId128" display="https://www.quickerala.com/trivandrum/kazhakkoottam/m-m-furniture/427686"/>
    <hyperlink ref="P98" r:id="rId129" display="https://www.quickerala.com/trivandrum/furniture-and-fixtures/furniture-shop/sbct-8435-dt-12"/>
    <hyperlink ref="P99" r:id="rId130" display="https://www.justdial.com/Thiruvananthapuram/Wooden-Furniture-Dealers/nct-10542688"/>
    <hyperlink ref="P100" r:id="rId131" display="https://www.justdial.com/Thiruvananthapuram/Wooden-Furniture-Dealers/nct-10542688"/>
    <hyperlink ref="P101" r:id="rId132" display="https://www.justdial.com/Thiruvananthapuram/Wooden-Furniture-Dealers/nct-10542688"/>
    <hyperlink ref="P102" r:id="rId133" display="https://www.justdial.com/Thiruvananthapuram/Wooden-Furniture-Dealers/nct-10542688"/>
    <hyperlink ref="P103" r:id="rId134" display="https://www.justdial.com/Thiruvananthapuram/Wooden-Furniture-Dealers/nct-10542688"/>
    <hyperlink ref="P104" r:id="rId135" display="https://www.quickerala.com/trivandrum/furniture-and-fixtures/furniture-shop/sbct-8435-dt-12"/>
    <hyperlink ref="P105" r:id="rId136" display="https://www.quickerala.com/trivandrum/furniture-and-fixtures/furniture-shop/sbct-8435-dt-12"/>
    <hyperlink ref="P106" r:id="rId137" display="https://dir.indiamart.com/thiruvananthapuram/wooden-furniture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8"/>
  <legacyDrawing r:id="rId13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2E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22.05" hidden="false" customHeight="false" outlineLevel="0" collapsed="false">
      <c r="A1" s="1" t="s">
        <v>758</v>
      </c>
    </row>
    <row r="2" customFormat="false" ht="15" hidden="false" customHeight="false" outlineLevel="0" collapsed="false">
      <c r="A2" s="32" t="s">
        <v>759</v>
      </c>
      <c r="B2" s="32"/>
      <c r="C2" s="32"/>
      <c r="D2" s="32"/>
      <c r="E2" s="32"/>
      <c r="F2" s="32"/>
      <c r="G2" s="32"/>
      <c r="H2" s="32"/>
      <c r="I2" s="32"/>
    </row>
    <row r="3" customFormat="false" ht="15" hidden="false" customHeight="false" outlineLevel="0" collapsed="false">
      <c r="A3" s="10" t="s">
        <v>760</v>
      </c>
      <c r="B3" s="10" t="s">
        <v>46</v>
      </c>
      <c r="C3" s="10" t="s">
        <v>761</v>
      </c>
      <c r="D3" s="10" t="s">
        <v>762</v>
      </c>
      <c r="E3" s="10" t="s">
        <v>763</v>
      </c>
      <c r="F3" s="10" t="s">
        <v>764</v>
      </c>
      <c r="G3" s="10" t="s">
        <v>765</v>
      </c>
      <c r="H3" s="10" t="s">
        <v>766</v>
      </c>
      <c r="I3" s="10" t="s">
        <v>66</v>
      </c>
    </row>
    <row r="4" customFormat="false" ht="15" hidden="false" customHeight="false" outlineLevel="0" collapsed="false">
      <c r="A4" s="33" t="n">
        <v>46316</v>
      </c>
      <c r="B4" s="34" t="s">
        <v>767</v>
      </c>
      <c r="C4" s="34" t="s">
        <v>768</v>
      </c>
      <c r="D4" s="34" t="s">
        <v>21</v>
      </c>
      <c r="E4" s="34" t="s">
        <v>24</v>
      </c>
      <c r="F4" s="34" t="s">
        <v>769</v>
      </c>
      <c r="G4" s="34" t="s">
        <v>770</v>
      </c>
      <c r="H4" s="33" t="n">
        <v>46318</v>
      </c>
      <c r="I4" s="34" t="s">
        <v>771</v>
      </c>
    </row>
    <row r="5" customFormat="false" ht="15" hidden="false" customHeight="false" outlineLevel="0" collapsed="false">
      <c r="A5" s="35"/>
      <c r="B5" s="36"/>
      <c r="C5" s="11" t="str">
        <f aca="false">IF(B5="","",IFERROR(INDEX(Leads!$C:$C,MATCH(B5,Leads!$A:$A,0)),"ID not found"))</f>
        <v/>
      </c>
      <c r="D5" s="11" t="str">
        <f aca="false">IF(B5="","",IFERROR(INDEX(Leads!$B:$B,MATCH(B5,Leads!$A:$A,0)),""))</f>
        <v/>
      </c>
      <c r="E5" s="36"/>
      <c r="F5" s="36"/>
      <c r="G5" s="36"/>
      <c r="H5" s="35"/>
      <c r="I5" s="36"/>
    </row>
    <row r="6" customFormat="false" ht="15" hidden="false" customHeight="false" outlineLevel="0" collapsed="false">
      <c r="A6" s="35"/>
      <c r="B6" s="36"/>
      <c r="C6" s="11" t="str">
        <f aca="false">IF(B6="","",IFERROR(INDEX(Leads!$C:$C,MATCH(B6,Leads!$A:$A,0)),"ID not found"))</f>
        <v/>
      </c>
      <c r="D6" s="11" t="str">
        <f aca="false">IF(B6="","",IFERROR(INDEX(Leads!$B:$B,MATCH(B6,Leads!$A:$A,0)),""))</f>
        <v/>
      </c>
      <c r="E6" s="36"/>
      <c r="F6" s="36"/>
      <c r="G6" s="36"/>
      <c r="H6" s="35"/>
      <c r="I6" s="36"/>
    </row>
    <row r="7" customFormat="false" ht="15" hidden="false" customHeight="false" outlineLevel="0" collapsed="false">
      <c r="A7" s="35"/>
      <c r="B7" s="36"/>
      <c r="C7" s="11" t="str">
        <f aca="false">IF(B7="","",IFERROR(INDEX(Leads!$C:$C,MATCH(B7,Leads!$A:$A,0)),"ID not found"))</f>
        <v/>
      </c>
      <c r="D7" s="11" t="str">
        <f aca="false">IF(B7="","",IFERROR(INDEX(Leads!$B:$B,MATCH(B7,Leads!$A:$A,0)),""))</f>
        <v/>
      </c>
      <c r="E7" s="36"/>
      <c r="F7" s="36"/>
      <c r="G7" s="36"/>
      <c r="H7" s="35"/>
      <c r="I7" s="36"/>
    </row>
    <row r="8" customFormat="false" ht="15" hidden="false" customHeight="false" outlineLevel="0" collapsed="false">
      <c r="A8" s="35"/>
      <c r="B8" s="36"/>
      <c r="C8" s="11" t="str">
        <f aca="false">IF(B8="","",IFERROR(INDEX(Leads!$C:$C,MATCH(B8,Leads!$A:$A,0)),"ID not found"))</f>
        <v/>
      </c>
      <c r="D8" s="11" t="str">
        <f aca="false">IF(B8="","",IFERROR(INDEX(Leads!$B:$B,MATCH(B8,Leads!$A:$A,0)),""))</f>
        <v/>
      </c>
      <c r="E8" s="36"/>
      <c r="F8" s="36"/>
      <c r="G8" s="36"/>
      <c r="H8" s="35"/>
      <c r="I8" s="36"/>
    </row>
    <row r="9" customFormat="false" ht="15" hidden="false" customHeight="false" outlineLevel="0" collapsed="false">
      <c r="A9" s="35"/>
      <c r="B9" s="36"/>
      <c r="C9" s="11" t="str">
        <f aca="false">IF(B9="","",IFERROR(INDEX(Leads!$C:$C,MATCH(B9,Leads!$A:$A,0)),"ID not found"))</f>
        <v/>
      </c>
      <c r="D9" s="11" t="str">
        <f aca="false">IF(B9="","",IFERROR(INDEX(Leads!$B:$B,MATCH(B9,Leads!$A:$A,0)),""))</f>
        <v/>
      </c>
      <c r="E9" s="36"/>
      <c r="F9" s="36"/>
      <c r="G9" s="36"/>
      <c r="H9" s="35"/>
      <c r="I9" s="36"/>
    </row>
    <row r="10" customFormat="false" ht="15" hidden="false" customHeight="false" outlineLevel="0" collapsed="false">
      <c r="A10" s="35"/>
      <c r="B10" s="36"/>
      <c r="C10" s="11" t="str">
        <f aca="false">IF(B10="","",IFERROR(INDEX(Leads!$C:$C,MATCH(B10,Leads!$A:$A,0)),"ID not found"))</f>
        <v/>
      </c>
      <c r="D10" s="11" t="str">
        <f aca="false">IF(B10="","",IFERROR(INDEX(Leads!$B:$B,MATCH(B10,Leads!$A:$A,0)),""))</f>
        <v/>
      </c>
      <c r="E10" s="36"/>
      <c r="F10" s="36"/>
      <c r="G10" s="36"/>
      <c r="H10" s="35"/>
      <c r="I10" s="36"/>
    </row>
    <row r="11" customFormat="false" ht="15" hidden="false" customHeight="false" outlineLevel="0" collapsed="false">
      <c r="A11" s="35"/>
      <c r="B11" s="36"/>
      <c r="C11" s="11" t="str">
        <f aca="false">IF(B11="","",IFERROR(INDEX(Leads!$C:$C,MATCH(B11,Leads!$A:$A,0)),"ID not found"))</f>
        <v/>
      </c>
      <c r="D11" s="11" t="str">
        <f aca="false">IF(B11="","",IFERROR(INDEX(Leads!$B:$B,MATCH(B11,Leads!$A:$A,0)),""))</f>
        <v/>
      </c>
      <c r="E11" s="36"/>
      <c r="F11" s="36"/>
      <c r="G11" s="36"/>
      <c r="H11" s="35"/>
      <c r="I11" s="36"/>
    </row>
    <row r="12" customFormat="false" ht="15" hidden="false" customHeight="false" outlineLevel="0" collapsed="false">
      <c r="A12" s="35"/>
      <c r="B12" s="36"/>
      <c r="C12" s="11" t="str">
        <f aca="false">IF(B12="","",IFERROR(INDEX(Leads!$C:$C,MATCH(B12,Leads!$A:$A,0)),"ID not found"))</f>
        <v/>
      </c>
      <c r="D12" s="11" t="str">
        <f aca="false">IF(B12="","",IFERROR(INDEX(Leads!$B:$B,MATCH(B12,Leads!$A:$A,0)),""))</f>
        <v/>
      </c>
      <c r="E12" s="36"/>
      <c r="F12" s="36"/>
      <c r="G12" s="36"/>
      <c r="H12" s="35"/>
      <c r="I12" s="36"/>
    </row>
    <row r="13" customFormat="false" ht="15" hidden="false" customHeight="false" outlineLevel="0" collapsed="false">
      <c r="A13" s="35"/>
      <c r="B13" s="36"/>
      <c r="C13" s="11" t="str">
        <f aca="false">IF(B13="","",IFERROR(INDEX(Leads!$C:$C,MATCH(B13,Leads!$A:$A,0)),"ID not found"))</f>
        <v/>
      </c>
      <c r="D13" s="11" t="str">
        <f aca="false">IF(B13="","",IFERROR(INDEX(Leads!$B:$B,MATCH(B13,Leads!$A:$A,0)),""))</f>
        <v/>
      </c>
      <c r="E13" s="36"/>
      <c r="F13" s="36"/>
      <c r="G13" s="36"/>
      <c r="H13" s="35"/>
      <c r="I13" s="36"/>
    </row>
    <row r="14" customFormat="false" ht="15" hidden="false" customHeight="false" outlineLevel="0" collapsed="false">
      <c r="A14" s="35"/>
      <c r="B14" s="36"/>
      <c r="C14" s="11" t="str">
        <f aca="false">IF(B14="","",IFERROR(INDEX(Leads!$C:$C,MATCH(B14,Leads!$A:$A,0)),"ID not found"))</f>
        <v/>
      </c>
      <c r="D14" s="11" t="str">
        <f aca="false">IF(B14="","",IFERROR(INDEX(Leads!$B:$B,MATCH(B14,Leads!$A:$A,0)),""))</f>
        <v/>
      </c>
      <c r="E14" s="36"/>
      <c r="F14" s="36"/>
      <c r="G14" s="36"/>
      <c r="H14" s="35"/>
      <c r="I14" s="36"/>
    </row>
    <row r="15" customFormat="false" ht="15" hidden="false" customHeight="false" outlineLevel="0" collapsed="false">
      <c r="A15" s="35"/>
      <c r="B15" s="36"/>
      <c r="C15" s="11" t="str">
        <f aca="false">IF(B15="","",IFERROR(INDEX(Leads!$C:$C,MATCH(B15,Leads!$A:$A,0)),"ID not found"))</f>
        <v/>
      </c>
      <c r="D15" s="11" t="str">
        <f aca="false">IF(B15="","",IFERROR(INDEX(Leads!$B:$B,MATCH(B15,Leads!$A:$A,0)),""))</f>
        <v/>
      </c>
      <c r="E15" s="36"/>
      <c r="F15" s="36"/>
      <c r="G15" s="36"/>
      <c r="H15" s="35"/>
      <c r="I15" s="36"/>
    </row>
    <row r="16" customFormat="false" ht="15" hidden="false" customHeight="false" outlineLevel="0" collapsed="false">
      <c r="A16" s="35"/>
      <c r="B16" s="36"/>
      <c r="C16" s="11" t="str">
        <f aca="false">IF(B16="","",IFERROR(INDEX(Leads!$C:$C,MATCH(B16,Leads!$A:$A,0)),"ID not found"))</f>
        <v/>
      </c>
      <c r="D16" s="11" t="str">
        <f aca="false">IF(B16="","",IFERROR(INDEX(Leads!$B:$B,MATCH(B16,Leads!$A:$A,0)),""))</f>
        <v/>
      </c>
      <c r="E16" s="36"/>
      <c r="F16" s="36"/>
      <c r="G16" s="36"/>
      <c r="H16" s="35"/>
      <c r="I16" s="36"/>
    </row>
    <row r="17" customFormat="false" ht="15" hidden="false" customHeight="false" outlineLevel="0" collapsed="false">
      <c r="A17" s="35"/>
      <c r="B17" s="36"/>
      <c r="C17" s="11" t="str">
        <f aca="false">IF(B17="","",IFERROR(INDEX(Leads!$C:$C,MATCH(B17,Leads!$A:$A,0)),"ID not found"))</f>
        <v/>
      </c>
      <c r="D17" s="11" t="str">
        <f aca="false">IF(B17="","",IFERROR(INDEX(Leads!$B:$B,MATCH(B17,Leads!$A:$A,0)),""))</f>
        <v/>
      </c>
      <c r="E17" s="36"/>
      <c r="F17" s="36"/>
      <c r="G17" s="36"/>
      <c r="H17" s="35"/>
      <c r="I17" s="36"/>
    </row>
    <row r="18" customFormat="false" ht="15" hidden="false" customHeight="false" outlineLevel="0" collapsed="false">
      <c r="A18" s="35"/>
      <c r="B18" s="36"/>
      <c r="C18" s="11" t="str">
        <f aca="false">IF(B18="","",IFERROR(INDEX(Leads!$C:$C,MATCH(B18,Leads!$A:$A,0)),"ID not found"))</f>
        <v/>
      </c>
      <c r="D18" s="11" t="str">
        <f aca="false">IF(B18="","",IFERROR(INDEX(Leads!$B:$B,MATCH(B18,Leads!$A:$A,0)),""))</f>
        <v/>
      </c>
      <c r="E18" s="36"/>
      <c r="F18" s="36"/>
      <c r="G18" s="36"/>
      <c r="H18" s="35"/>
      <c r="I18" s="36"/>
    </row>
    <row r="19" customFormat="false" ht="15" hidden="false" customHeight="false" outlineLevel="0" collapsed="false">
      <c r="A19" s="35"/>
      <c r="B19" s="36"/>
      <c r="C19" s="11" t="str">
        <f aca="false">IF(B19="","",IFERROR(INDEX(Leads!$C:$C,MATCH(B19,Leads!$A:$A,0)),"ID not found"))</f>
        <v/>
      </c>
      <c r="D19" s="11" t="str">
        <f aca="false">IF(B19="","",IFERROR(INDEX(Leads!$B:$B,MATCH(B19,Leads!$A:$A,0)),""))</f>
        <v/>
      </c>
      <c r="E19" s="36"/>
      <c r="F19" s="36"/>
      <c r="G19" s="36"/>
      <c r="H19" s="35"/>
      <c r="I19" s="36"/>
    </row>
    <row r="20" customFormat="false" ht="15" hidden="false" customHeight="false" outlineLevel="0" collapsed="false">
      <c r="A20" s="35"/>
      <c r="B20" s="36"/>
      <c r="C20" s="11" t="str">
        <f aca="false">IF(B20="","",IFERROR(INDEX(Leads!$C:$C,MATCH(B20,Leads!$A:$A,0)),"ID not found"))</f>
        <v/>
      </c>
      <c r="D20" s="11" t="str">
        <f aca="false">IF(B20="","",IFERROR(INDEX(Leads!$B:$B,MATCH(B20,Leads!$A:$A,0)),""))</f>
        <v/>
      </c>
      <c r="E20" s="36"/>
      <c r="F20" s="36"/>
      <c r="G20" s="36"/>
      <c r="H20" s="35"/>
      <c r="I20" s="36"/>
    </row>
    <row r="21" customFormat="false" ht="15" hidden="false" customHeight="false" outlineLevel="0" collapsed="false">
      <c r="A21" s="35"/>
      <c r="B21" s="36"/>
      <c r="C21" s="11" t="str">
        <f aca="false">IF(B21="","",IFERROR(INDEX(Leads!$C:$C,MATCH(B21,Leads!$A:$A,0)),"ID not found"))</f>
        <v/>
      </c>
      <c r="D21" s="11" t="str">
        <f aca="false">IF(B21="","",IFERROR(INDEX(Leads!$B:$B,MATCH(B21,Leads!$A:$A,0)),""))</f>
        <v/>
      </c>
      <c r="E21" s="36"/>
      <c r="F21" s="36"/>
      <c r="G21" s="36"/>
      <c r="H21" s="35"/>
      <c r="I21" s="36"/>
    </row>
    <row r="22" customFormat="false" ht="15" hidden="false" customHeight="false" outlineLevel="0" collapsed="false">
      <c r="A22" s="35"/>
      <c r="B22" s="36"/>
      <c r="C22" s="11" t="str">
        <f aca="false">IF(B22="","",IFERROR(INDEX(Leads!$C:$C,MATCH(B22,Leads!$A:$A,0)),"ID not found"))</f>
        <v/>
      </c>
      <c r="D22" s="11" t="str">
        <f aca="false">IF(B22="","",IFERROR(INDEX(Leads!$B:$B,MATCH(B22,Leads!$A:$A,0)),""))</f>
        <v/>
      </c>
      <c r="E22" s="36"/>
      <c r="F22" s="36"/>
      <c r="G22" s="36"/>
      <c r="H22" s="35"/>
      <c r="I22" s="36"/>
    </row>
    <row r="23" customFormat="false" ht="15" hidden="false" customHeight="false" outlineLevel="0" collapsed="false">
      <c r="A23" s="35"/>
      <c r="B23" s="36"/>
      <c r="C23" s="11" t="str">
        <f aca="false">IF(B23="","",IFERROR(INDEX(Leads!$C:$C,MATCH(B23,Leads!$A:$A,0)),"ID not found"))</f>
        <v/>
      </c>
      <c r="D23" s="11" t="str">
        <f aca="false">IF(B23="","",IFERROR(INDEX(Leads!$B:$B,MATCH(B23,Leads!$A:$A,0)),""))</f>
        <v/>
      </c>
      <c r="E23" s="36"/>
      <c r="F23" s="36"/>
      <c r="G23" s="36"/>
      <c r="H23" s="35"/>
      <c r="I23" s="36"/>
    </row>
    <row r="24" customFormat="false" ht="15" hidden="false" customHeight="false" outlineLevel="0" collapsed="false">
      <c r="A24" s="35"/>
      <c r="B24" s="36"/>
      <c r="C24" s="11" t="str">
        <f aca="false">IF(B24="","",IFERROR(INDEX(Leads!$C:$C,MATCH(B24,Leads!$A:$A,0)),"ID not found"))</f>
        <v/>
      </c>
      <c r="D24" s="11" t="str">
        <f aca="false">IF(B24="","",IFERROR(INDEX(Leads!$B:$B,MATCH(B24,Leads!$A:$A,0)),""))</f>
        <v/>
      </c>
      <c r="E24" s="36"/>
      <c r="F24" s="36"/>
      <c r="G24" s="36"/>
      <c r="H24" s="35"/>
      <c r="I24" s="36"/>
    </row>
    <row r="25" customFormat="false" ht="15" hidden="false" customHeight="false" outlineLevel="0" collapsed="false">
      <c r="A25" s="35"/>
      <c r="B25" s="36"/>
      <c r="C25" s="11" t="str">
        <f aca="false">IF(B25="","",IFERROR(INDEX(Leads!$C:$C,MATCH(B25,Leads!$A:$A,0)),"ID not found"))</f>
        <v/>
      </c>
      <c r="D25" s="11" t="str">
        <f aca="false">IF(B25="","",IFERROR(INDEX(Leads!$B:$B,MATCH(B25,Leads!$A:$A,0)),""))</f>
        <v/>
      </c>
      <c r="E25" s="36"/>
      <c r="F25" s="36"/>
      <c r="G25" s="36"/>
      <c r="H25" s="35"/>
      <c r="I25" s="36"/>
    </row>
    <row r="26" customFormat="false" ht="15" hidden="false" customHeight="false" outlineLevel="0" collapsed="false">
      <c r="A26" s="35"/>
      <c r="B26" s="36"/>
      <c r="C26" s="11" t="str">
        <f aca="false">IF(B26="","",IFERROR(INDEX(Leads!$C:$C,MATCH(B26,Leads!$A:$A,0)),"ID not found"))</f>
        <v/>
      </c>
      <c r="D26" s="11" t="str">
        <f aca="false">IF(B26="","",IFERROR(INDEX(Leads!$B:$B,MATCH(B26,Leads!$A:$A,0)),""))</f>
        <v/>
      </c>
      <c r="E26" s="36"/>
      <c r="F26" s="36"/>
      <c r="G26" s="36"/>
      <c r="H26" s="35"/>
      <c r="I26" s="36"/>
    </row>
    <row r="27" customFormat="false" ht="15" hidden="false" customHeight="false" outlineLevel="0" collapsed="false">
      <c r="A27" s="35"/>
      <c r="B27" s="36"/>
      <c r="C27" s="11" t="str">
        <f aca="false">IF(B27="","",IFERROR(INDEX(Leads!$C:$C,MATCH(B27,Leads!$A:$A,0)),"ID not found"))</f>
        <v/>
      </c>
      <c r="D27" s="11" t="str">
        <f aca="false">IF(B27="","",IFERROR(INDEX(Leads!$B:$B,MATCH(B27,Leads!$A:$A,0)),""))</f>
        <v/>
      </c>
      <c r="E27" s="36"/>
      <c r="F27" s="36"/>
      <c r="G27" s="36"/>
      <c r="H27" s="35"/>
      <c r="I27" s="36"/>
    </row>
    <row r="28" customFormat="false" ht="15" hidden="false" customHeight="false" outlineLevel="0" collapsed="false">
      <c r="A28" s="35"/>
      <c r="B28" s="36"/>
      <c r="C28" s="11" t="str">
        <f aca="false">IF(B28="","",IFERROR(INDEX(Leads!$C:$C,MATCH(B28,Leads!$A:$A,0)),"ID not found"))</f>
        <v/>
      </c>
      <c r="D28" s="11" t="str">
        <f aca="false">IF(B28="","",IFERROR(INDEX(Leads!$B:$B,MATCH(B28,Leads!$A:$A,0)),""))</f>
        <v/>
      </c>
      <c r="E28" s="36"/>
      <c r="F28" s="36"/>
      <c r="G28" s="36"/>
      <c r="H28" s="35"/>
      <c r="I28" s="36"/>
    </row>
    <row r="29" customFormat="false" ht="15" hidden="false" customHeight="false" outlineLevel="0" collapsed="false">
      <c r="A29" s="35"/>
      <c r="B29" s="36"/>
      <c r="C29" s="11" t="str">
        <f aca="false">IF(B29="","",IFERROR(INDEX(Leads!$C:$C,MATCH(B29,Leads!$A:$A,0)),"ID not found"))</f>
        <v/>
      </c>
      <c r="D29" s="11" t="str">
        <f aca="false">IF(B29="","",IFERROR(INDEX(Leads!$B:$B,MATCH(B29,Leads!$A:$A,0)),""))</f>
        <v/>
      </c>
      <c r="E29" s="36"/>
      <c r="F29" s="36"/>
      <c r="G29" s="36"/>
      <c r="H29" s="35"/>
      <c r="I29" s="36"/>
    </row>
    <row r="30" customFormat="false" ht="15" hidden="false" customHeight="false" outlineLevel="0" collapsed="false">
      <c r="A30" s="35"/>
      <c r="B30" s="36"/>
      <c r="C30" s="11" t="str">
        <f aca="false">IF(B30="","",IFERROR(INDEX(Leads!$C:$C,MATCH(B30,Leads!$A:$A,0)),"ID not found"))</f>
        <v/>
      </c>
      <c r="D30" s="11" t="str">
        <f aca="false">IF(B30="","",IFERROR(INDEX(Leads!$B:$B,MATCH(B30,Leads!$A:$A,0)),""))</f>
        <v/>
      </c>
      <c r="E30" s="36"/>
      <c r="F30" s="36"/>
      <c r="G30" s="36"/>
      <c r="H30" s="35"/>
      <c r="I30" s="36"/>
    </row>
    <row r="31" customFormat="false" ht="15" hidden="false" customHeight="false" outlineLevel="0" collapsed="false">
      <c r="A31" s="35"/>
      <c r="B31" s="36"/>
      <c r="C31" s="11" t="str">
        <f aca="false">IF(B31="","",IFERROR(INDEX(Leads!$C:$C,MATCH(B31,Leads!$A:$A,0)),"ID not found"))</f>
        <v/>
      </c>
      <c r="D31" s="11" t="str">
        <f aca="false">IF(B31="","",IFERROR(INDEX(Leads!$B:$B,MATCH(B31,Leads!$A:$A,0)),""))</f>
        <v/>
      </c>
      <c r="E31" s="36"/>
      <c r="F31" s="36"/>
      <c r="G31" s="36"/>
      <c r="H31" s="35"/>
      <c r="I31" s="36"/>
    </row>
    <row r="32" customFormat="false" ht="15" hidden="false" customHeight="false" outlineLevel="0" collapsed="false">
      <c r="A32" s="35"/>
      <c r="B32" s="36"/>
      <c r="C32" s="11" t="str">
        <f aca="false">IF(B32="","",IFERROR(INDEX(Leads!$C:$C,MATCH(B32,Leads!$A:$A,0)),"ID not found"))</f>
        <v/>
      </c>
      <c r="D32" s="11" t="str">
        <f aca="false">IF(B32="","",IFERROR(INDEX(Leads!$B:$B,MATCH(B32,Leads!$A:$A,0)),""))</f>
        <v/>
      </c>
      <c r="E32" s="36"/>
      <c r="F32" s="36"/>
      <c r="G32" s="36"/>
      <c r="H32" s="35"/>
      <c r="I32" s="36"/>
    </row>
    <row r="33" customFormat="false" ht="15" hidden="false" customHeight="false" outlineLevel="0" collapsed="false">
      <c r="A33" s="35"/>
      <c r="B33" s="36"/>
      <c r="C33" s="11" t="str">
        <f aca="false">IF(B33="","",IFERROR(INDEX(Leads!$C:$C,MATCH(B33,Leads!$A:$A,0)),"ID not found"))</f>
        <v/>
      </c>
      <c r="D33" s="11" t="str">
        <f aca="false">IF(B33="","",IFERROR(INDEX(Leads!$B:$B,MATCH(B33,Leads!$A:$A,0)),""))</f>
        <v/>
      </c>
      <c r="E33" s="36"/>
      <c r="F33" s="36"/>
      <c r="G33" s="36"/>
      <c r="H33" s="35"/>
      <c r="I33" s="36"/>
    </row>
    <row r="34" customFormat="false" ht="15" hidden="false" customHeight="false" outlineLevel="0" collapsed="false">
      <c r="A34" s="35"/>
      <c r="B34" s="36"/>
      <c r="C34" s="11" t="str">
        <f aca="false">IF(B34="","",IFERROR(INDEX(Leads!$C:$C,MATCH(B34,Leads!$A:$A,0)),"ID not found"))</f>
        <v/>
      </c>
      <c r="D34" s="11" t="str">
        <f aca="false">IF(B34="","",IFERROR(INDEX(Leads!$B:$B,MATCH(B34,Leads!$A:$A,0)),""))</f>
        <v/>
      </c>
      <c r="E34" s="36"/>
      <c r="F34" s="36"/>
      <c r="G34" s="36"/>
      <c r="H34" s="35"/>
      <c r="I34" s="36"/>
    </row>
    <row r="35" customFormat="false" ht="15" hidden="false" customHeight="false" outlineLevel="0" collapsed="false">
      <c r="A35" s="35"/>
      <c r="B35" s="36"/>
      <c r="C35" s="11" t="str">
        <f aca="false">IF(B35="","",IFERROR(INDEX(Leads!$C:$C,MATCH(B35,Leads!$A:$A,0)),"ID not found"))</f>
        <v/>
      </c>
      <c r="D35" s="11" t="str">
        <f aca="false">IF(B35="","",IFERROR(INDEX(Leads!$B:$B,MATCH(B35,Leads!$A:$A,0)),""))</f>
        <v/>
      </c>
      <c r="E35" s="36"/>
      <c r="F35" s="36"/>
      <c r="G35" s="36"/>
      <c r="H35" s="35"/>
      <c r="I35" s="36"/>
    </row>
    <row r="36" customFormat="false" ht="15" hidden="false" customHeight="false" outlineLevel="0" collapsed="false">
      <c r="A36" s="35"/>
      <c r="B36" s="36"/>
      <c r="C36" s="11" t="str">
        <f aca="false">IF(B36="","",IFERROR(INDEX(Leads!$C:$C,MATCH(B36,Leads!$A:$A,0)),"ID not found"))</f>
        <v/>
      </c>
      <c r="D36" s="11" t="str">
        <f aca="false">IF(B36="","",IFERROR(INDEX(Leads!$B:$B,MATCH(B36,Leads!$A:$A,0)),""))</f>
        <v/>
      </c>
      <c r="E36" s="36"/>
      <c r="F36" s="36"/>
      <c r="G36" s="36"/>
      <c r="H36" s="35"/>
      <c r="I36" s="36"/>
    </row>
    <row r="37" customFormat="false" ht="15" hidden="false" customHeight="false" outlineLevel="0" collapsed="false">
      <c r="A37" s="35"/>
      <c r="B37" s="36"/>
      <c r="C37" s="11" t="str">
        <f aca="false">IF(B37="","",IFERROR(INDEX(Leads!$C:$C,MATCH(B37,Leads!$A:$A,0)),"ID not found"))</f>
        <v/>
      </c>
      <c r="D37" s="11" t="str">
        <f aca="false">IF(B37="","",IFERROR(INDEX(Leads!$B:$B,MATCH(B37,Leads!$A:$A,0)),""))</f>
        <v/>
      </c>
      <c r="E37" s="36"/>
      <c r="F37" s="36"/>
      <c r="G37" s="36"/>
      <c r="H37" s="35"/>
      <c r="I37" s="36"/>
    </row>
    <row r="38" customFormat="false" ht="15" hidden="false" customHeight="false" outlineLevel="0" collapsed="false">
      <c r="A38" s="35"/>
      <c r="B38" s="36"/>
      <c r="C38" s="11" t="str">
        <f aca="false">IF(B38="","",IFERROR(INDEX(Leads!$C:$C,MATCH(B38,Leads!$A:$A,0)),"ID not found"))</f>
        <v/>
      </c>
      <c r="D38" s="11" t="str">
        <f aca="false">IF(B38="","",IFERROR(INDEX(Leads!$B:$B,MATCH(B38,Leads!$A:$A,0)),""))</f>
        <v/>
      </c>
      <c r="E38" s="36"/>
      <c r="F38" s="36"/>
      <c r="G38" s="36"/>
      <c r="H38" s="35"/>
      <c r="I38" s="36"/>
    </row>
    <row r="39" customFormat="false" ht="15" hidden="false" customHeight="false" outlineLevel="0" collapsed="false">
      <c r="A39" s="35"/>
      <c r="B39" s="36"/>
      <c r="C39" s="11" t="str">
        <f aca="false">IF(B39="","",IFERROR(INDEX(Leads!$C:$C,MATCH(B39,Leads!$A:$A,0)),"ID not found"))</f>
        <v/>
      </c>
      <c r="D39" s="11" t="str">
        <f aca="false">IF(B39="","",IFERROR(INDEX(Leads!$B:$B,MATCH(B39,Leads!$A:$A,0)),""))</f>
        <v/>
      </c>
      <c r="E39" s="36"/>
      <c r="F39" s="36"/>
      <c r="G39" s="36"/>
      <c r="H39" s="35"/>
      <c r="I39" s="36"/>
    </row>
    <row r="40" customFormat="false" ht="15" hidden="false" customHeight="false" outlineLevel="0" collapsed="false">
      <c r="A40" s="35"/>
      <c r="B40" s="36"/>
      <c r="C40" s="11" t="str">
        <f aca="false">IF(B40="","",IFERROR(INDEX(Leads!$C:$C,MATCH(B40,Leads!$A:$A,0)),"ID not found"))</f>
        <v/>
      </c>
      <c r="D40" s="11" t="str">
        <f aca="false">IF(B40="","",IFERROR(INDEX(Leads!$B:$B,MATCH(B40,Leads!$A:$A,0)),""))</f>
        <v/>
      </c>
      <c r="E40" s="36"/>
      <c r="F40" s="36"/>
      <c r="G40" s="36"/>
      <c r="H40" s="35"/>
      <c r="I40" s="36"/>
    </row>
    <row r="41" customFormat="false" ht="15" hidden="false" customHeight="false" outlineLevel="0" collapsed="false">
      <c r="A41" s="35"/>
      <c r="B41" s="36"/>
      <c r="C41" s="11" t="str">
        <f aca="false">IF(B41="","",IFERROR(INDEX(Leads!$C:$C,MATCH(B41,Leads!$A:$A,0)),"ID not found"))</f>
        <v/>
      </c>
      <c r="D41" s="11" t="str">
        <f aca="false">IF(B41="","",IFERROR(INDEX(Leads!$B:$B,MATCH(B41,Leads!$A:$A,0)),""))</f>
        <v/>
      </c>
      <c r="E41" s="36"/>
      <c r="F41" s="36"/>
      <c r="G41" s="36"/>
      <c r="H41" s="35"/>
      <c r="I41" s="36"/>
    </row>
    <row r="42" customFormat="false" ht="15" hidden="false" customHeight="false" outlineLevel="0" collapsed="false">
      <c r="A42" s="35"/>
      <c r="B42" s="36"/>
      <c r="C42" s="11" t="str">
        <f aca="false">IF(B42="","",IFERROR(INDEX(Leads!$C:$C,MATCH(B42,Leads!$A:$A,0)),"ID not found"))</f>
        <v/>
      </c>
      <c r="D42" s="11" t="str">
        <f aca="false">IF(B42="","",IFERROR(INDEX(Leads!$B:$B,MATCH(B42,Leads!$A:$A,0)),""))</f>
        <v/>
      </c>
      <c r="E42" s="36"/>
      <c r="F42" s="36"/>
      <c r="G42" s="36"/>
      <c r="H42" s="35"/>
      <c r="I42" s="36"/>
    </row>
    <row r="43" customFormat="false" ht="15" hidden="false" customHeight="false" outlineLevel="0" collapsed="false">
      <c r="A43" s="35"/>
      <c r="B43" s="36"/>
      <c r="C43" s="11" t="str">
        <f aca="false">IF(B43="","",IFERROR(INDEX(Leads!$C:$C,MATCH(B43,Leads!$A:$A,0)),"ID not found"))</f>
        <v/>
      </c>
      <c r="D43" s="11" t="str">
        <f aca="false">IF(B43="","",IFERROR(INDEX(Leads!$B:$B,MATCH(B43,Leads!$A:$A,0)),""))</f>
        <v/>
      </c>
      <c r="E43" s="36"/>
      <c r="F43" s="36"/>
      <c r="G43" s="36"/>
      <c r="H43" s="35"/>
      <c r="I43" s="36"/>
    </row>
    <row r="44" customFormat="false" ht="15" hidden="false" customHeight="false" outlineLevel="0" collapsed="false">
      <c r="A44" s="35"/>
      <c r="B44" s="36"/>
      <c r="C44" s="11" t="str">
        <f aca="false">IF(B44="","",IFERROR(INDEX(Leads!$C:$C,MATCH(B44,Leads!$A:$A,0)),"ID not found"))</f>
        <v/>
      </c>
      <c r="D44" s="11" t="str">
        <f aca="false">IF(B44="","",IFERROR(INDEX(Leads!$B:$B,MATCH(B44,Leads!$A:$A,0)),""))</f>
        <v/>
      </c>
      <c r="E44" s="36"/>
      <c r="F44" s="36"/>
      <c r="G44" s="36"/>
      <c r="H44" s="35"/>
      <c r="I44" s="36"/>
    </row>
    <row r="45" customFormat="false" ht="15" hidden="false" customHeight="false" outlineLevel="0" collapsed="false">
      <c r="A45" s="35"/>
      <c r="B45" s="36"/>
      <c r="C45" s="11" t="str">
        <f aca="false">IF(B45="","",IFERROR(INDEX(Leads!$C:$C,MATCH(B45,Leads!$A:$A,0)),"ID not found"))</f>
        <v/>
      </c>
      <c r="D45" s="11" t="str">
        <f aca="false">IF(B45="","",IFERROR(INDEX(Leads!$B:$B,MATCH(B45,Leads!$A:$A,0)),""))</f>
        <v/>
      </c>
      <c r="E45" s="36"/>
      <c r="F45" s="36"/>
      <c r="G45" s="36"/>
      <c r="H45" s="35"/>
      <c r="I45" s="36"/>
    </row>
    <row r="46" customFormat="false" ht="15" hidden="false" customHeight="false" outlineLevel="0" collapsed="false">
      <c r="A46" s="35"/>
      <c r="B46" s="36"/>
      <c r="C46" s="11" t="str">
        <f aca="false">IF(B46="","",IFERROR(INDEX(Leads!$C:$C,MATCH(B46,Leads!$A:$A,0)),"ID not found"))</f>
        <v/>
      </c>
      <c r="D46" s="11" t="str">
        <f aca="false">IF(B46="","",IFERROR(INDEX(Leads!$B:$B,MATCH(B46,Leads!$A:$A,0)),""))</f>
        <v/>
      </c>
      <c r="E46" s="36"/>
      <c r="F46" s="36"/>
      <c r="G46" s="36"/>
      <c r="H46" s="35"/>
      <c r="I46" s="36"/>
    </row>
    <row r="47" customFormat="false" ht="15" hidden="false" customHeight="false" outlineLevel="0" collapsed="false">
      <c r="A47" s="35"/>
      <c r="B47" s="36"/>
      <c r="C47" s="11" t="str">
        <f aca="false">IF(B47="","",IFERROR(INDEX(Leads!$C:$C,MATCH(B47,Leads!$A:$A,0)),"ID not found"))</f>
        <v/>
      </c>
      <c r="D47" s="11" t="str">
        <f aca="false">IF(B47="","",IFERROR(INDEX(Leads!$B:$B,MATCH(B47,Leads!$A:$A,0)),""))</f>
        <v/>
      </c>
      <c r="E47" s="36"/>
      <c r="F47" s="36"/>
      <c r="G47" s="36"/>
      <c r="H47" s="35"/>
      <c r="I47" s="36"/>
    </row>
    <row r="48" customFormat="false" ht="15" hidden="false" customHeight="false" outlineLevel="0" collapsed="false">
      <c r="A48" s="35"/>
      <c r="B48" s="36"/>
      <c r="C48" s="11" t="str">
        <f aca="false">IF(B48="","",IFERROR(INDEX(Leads!$C:$C,MATCH(B48,Leads!$A:$A,0)),"ID not found"))</f>
        <v/>
      </c>
      <c r="D48" s="11" t="str">
        <f aca="false">IF(B48="","",IFERROR(INDEX(Leads!$B:$B,MATCH(B48,Leads!$A:$A,0)),""))</f>
        <v/>
      </c>
      <c r="E48" s="36"/>
      <c r="F48" s="36"/>
      <c r="G48" s="36"/>
      <c r="H48" s="35"/>
      <c r="I48" s="36"/>
    </row>
    <row r="49" customFormat="false" ht="15" hidden="false" customHeight="false" outlineLevel="0" collapsed="false">
      <c r="A49" s="35"/>
      <c r="B49" s="36"/>
      <c r="C49" s="11" t="str">
        <f aca="false">IF(B49="","",IFERROR(INDEX(Leads!$C:$C,MATCH(B49,Leads!$A:$A,0)),"ID not found"))</f>
        <v/>
      </c>
      <c r="D49" s="11" t="str">
        <f aca="false">IF(B49="","",IFERROR(INDEX(Leads!$B:$B,MATCH(B49,Leads!$A:$A,0)),""))</f>
        <v/>
      </c>
      <c r="E49" s="36"/>
      <c r="F49" s="36"/>
      <c r="G49" s="36"/>
      <c r="H49" s="35"/>
      <c r="I49" s="36"/>
    </row>
    <row r="50" customFormat="false" ht="15" hidden="false" customHeight="false" outlineLevel="0" collapsed="false">
      <c r="A50" s="35"/>
      <c r="B50" s="36"/>
      <c r="C50" s="11" t="str">
        <f aca="false">IF(B50="","",IFERROR(INDEX(Leads!$C:$C,MATCH(B50,Leads!$A:$A,0)),"ID not found"))</f>
        <v/>
      </c>
      <c r="D50" s="11" t="str">
        <f aca="false">IF(B50="","",IFERROR(INDEX(Leads!$B:$B,MATCH(B50,Leads!$A:$A,0)),""))</f>
        <v/>
      </c>
      <c r="E50" s="36"/>
      <c r="F50" s="36"/>
      <c r="G50" s="36"/>
      <c r="H50" s="35"/>
      <c r="I50" s="36"/>
    </row>
    <row r="51" customFormat="false" ht="15" hidden="false" customHeight="false" outlineLevel="0" collapsed="false">
      <c r="A51" s="35"/>
      <c r="B51" s="36"/>
      <c r="C51" s="11" t="str">
        <f aca="false">IF(B51="","",IFERROR(INDEX(Leads!$C:$C,MATCH(B51,Leads!$A:$A,0)),"ID not found"))</f>
        <v/>
      </c>
      <c r="D51" s="11" t="str">
        <f aca="false">IF(B51="","",IFERROR(INDEX(Leads!$B:$B,MATCH(B51,Leads!$A:$A,0)),""))</f>
        <v/>
      </c>
      <c r="E51" s="36"/>
      <c r="F51" s="36"/>
      <c r="G51" s="36"/>
      <c r="H51" s="35"/>
      <c r="I51" s="36"/>
    </row>
    <row r="52" customFormat="false" ht="15" hidden="false" customHeight="false" outlineLevel="0" collapsed="false">
      <c r="A52" s="35"/>
      <c r="B52" s="36"/>
      <c r="C52" s="11" t="str">
        <f aca="false">IF(B52="","",IFERROR(INDEX(Leads!$C:$C,MATCH(B52,Leads!$A:$A,0)),"ID not found"))</f>
        <v/>
      </c>
      <c r="D52" s="11" t="str">
        <f aca="false">IF(B52="","",IFERROR(INDEX(Leads!$B:$B,MATCH(B52,Leads!$A:$A,0)),""))</f>
        <v/>
      </c>
      <c r="E52" s="36"/>
      <c r="F52" s="36"/>
      <c r="G52" s="36"/>
      <c r="H52" s="35"/>
      <c r="I52" s="36"/>
    </row>
    <row r="53" customFormat="false" ht="15" hidden="false" customHeight="false" outlineLevel="0" collapsed="false">
      <c r="A53" s="35"/>
      <c r="B53" s="36"/>
      <c r="C53" s="11" t="str">
        <f aca="false">IF(B53="","",IFERROR(INDEX(Leads!$C:$C,MATCH(B53,Leads!$A:$A,0)),"ID not found"))</f>
        <v/>
      </c>
      <c r="D53" s="11" t="str">
        <f aca="false">IF(B53="","",IFERROR(INDEX(Leads!$B:$B,MATCH(B53,Leads!$A:$A,0)),""))</f>
        <v/>
      </c>
      <c r="E53" s="36"/>
      <c r="F53" s="36"/>
      <c r="G53" s="36"/>
      <c r="H53" s="35"/>
      <c r="I53" s="36"/>
    </row>
    <row r="54" customFormat="false" ht="15" hidden="false" customHeight="false" outlineLevel="0" collapsed="false">
      <c r="A54" s="35"/>
      <c r="B54" s="36"/>
      <c r="C54" s="11" t="str">
        <f aca="false">IF(B54="","",IFERROR(INDEX(Leads!$C:$C,MATCH(B54,Leads!$A:$A,0)),"ID not found"))</f>
        <v/>
      </c>
      <c r="D54" s="11" t="str">
        <f aca="false">IF(B54="","",IFERROR(INDEX(Leads!$B:$B,MATCH(B54,Leads!$A:$A,0)),""))</f>
        <v/>
      </c>
      <c r="E54" s="36"/>
      <c r="F54" s="36"/>
      <c r="G54" s="36"/>
      <c r="H54" s="35"/>
      <c r="I54" s="36"/>
    </row>
    <row r="55" customFormat="false" ht="15" hidden="false" customHeight="false" outlineLevel="0" collapsed="false">
      <c r="A55" s="35"/>
      <c r="B55" s="36"/>
      <c r="C55" s="11" t="str">
        <f aca="false">IF(B55="","",IFERROR(INDEX(Leads!$C:$C,MATCH(B55,Leads!$A:$A,0)),"ID not found"))</f>
        <v/>
      </c>
      <c r="D55" s="11" t="str">
        <f aca="false">IF(B55="","",IFERROR(INDEX(Leads!$B:$B,MATCH(B55,Leads!$A:$A,0)),""))</f>
        <v/>
      </c>
      <c r="E55" s="36"/>
      <c r="F55" s="36"/>
      <c r="G55" s="36"/>
      <c r="H55" s="35"/>
      <c r="I55" s="36"/>
    </row>
    <row r="56" customFormat="false" ht="15" hidden="false" customHeight="false" outlineLevel="0" collapsed="false">
      <c r="A56" s="35"/>
      <c r="B56" s="36"/>
      <c r="C56" s="11" t="str">
        <f aca="false">IF(B56="","",IFERROR(INDEX(Leads!$C:$C,MATCH(B56,Leads!$A:$A,0)),"ID not found"))</f>
        <v/>
      </c>
      <c r="D56" s="11" t="str">
        <f aca="false">IF(B56="","",IFERROR(INDEX(Leads!$B:$B,MATCH(B56,Leads!$A:$A,0)),""))</f>
        <v/>
      </c>
      <c r="E56" s="36"/>
      <c r="F56" s="36"/>
      <c r="G56" s="36"/>
      <c r="H56" s="35"/>
      <c r="I56" s="36"/>
    </row>
    <row r="57" customFormat="false" ht="15" hidden="false" customHeight="false" outlineLevel="0" collapsed="false">
      <c r="A57" s="35"/>
      <c r="B57" s="36"/>
      <c r="C57" s="11" t="str">
        <f aca="false">IF(B57="","",IFERROR(INDEX(Leads!$C:$C,MATCH(B57,Leads!$A:$A,0)),"ID not found"))</f>
        <v/>
      </c>
      <c r="D57" s="11" t="str">
        <f aca="false">IF(B57="","",IFERROR(INDEX(Leads!$B:$B,MATCH(B57,Leads!$A:$A,0)),""))</f>
        <v/>
      </c>
      <c r="E57" s="36"/>
      <c r="F57" s="36"/>
      <c r="G57" s="36"/>
      <c r="H57" s="35"/>
      <c r="I57" s="36"/>
    </row>
    <row r="58" customFormat="false" ht="15" hidden="false" customHeight="false" outlineLevel="0" collapsed="false">
      <c r="A58" s="35"/>
      <c r="B58" s="36"/>
      <c r="C58" s="11" t="str">
        <f aca="false">IF(B58="","",IFERROR(INDEX(Leads!$C:$C,MATCH(B58,Leads!$A:$A,0)),"ID not found"))</f>
        <v/>
      </c>
      <c r="D58" s="11" t="str">
        <f aca="false">IF(B58="","",IFERROR(INDEX(Leads!$B:$B,MATCH(B58,Leads!$A:$A,0)),""))</f>
        <v/>
      </c>
      <c r="E58" s="36"/>
      <c r="F58" s="36"/>
      <c r="G58" s="36"/>
      <c r="H58" s="35"/>
      <c r="I58" s="36"/>
    </row>
    <row r="59" customFormat="false" ht="15" hidden="false" customHeight="false" outlineLevel="0" collapsed="false">
      <c r="A59" s="35"/>
      <c r="B59" s="36"/>
      <c r="C59" s="11" t="str">
        <f aca="false">IF(B59="","",IFERROR(INDEX(Leads!$C:$C,MATCH(B59,Leads!$A:$A,0)),"ID not found"))</f>
        <v/>
      </c>
      <c r="D59" s="11" t="str">
        <f aca="false">IF(B59="","",IFERROR(INDEX(Leads!$B:$B,MATCH(B59,Leads!$A:$A,0)),""))</f>
        <v/>
      </c>
      <c r="E59" s="36"/>
      <c r="F59" s="36"/>
      <c r="G59" s="36"/>
      <c r="H59" s="35"/>
      <c r="I59" s="36"/>
    </row>
    <row r="60" customFormat="false" ht="15" hidden="false" customHeight="false" outlineLevel="0" collapsed="false">
      <c r="A60" s="35"/>
      <c r="B60" s="36"/>
      <c r="C60" s="11" t="str">
        <f aca="false">IF(B60="","",IFERROR(INDEX(Leads!$C:$C,MATCH(B60,Leads!$A:$A,0)),"ID not found"))</f>
        <v/>
      </c>
      <c r="D60" s="11" t="str">
        <f aca="false">IF(B60="","",IFERROR(INDEX(Leads!$B:$B,MATCH(B60,Leads!$A:$A,0)),""))</f>
        <v/>
      </c>
      <c r="E60" s="36"/>
      <c r="F60" s="36"/>
      <c r="G60" s="36"/>
      <c r="H60" s="35"/>
      <c r="I60" s="36"/>
    </row>
    <row r="61" customFormat="false" ht="15" hidden="false" customHeight="false" outlineLevel="0" collapsed="false">
      <c r="A61" s="35"/>
      <c r="B61" s="36"/>
      <c r="C61" s="11" t="str">
        <f aca="false">IF(B61="","",IFERROR(INDEX(Leads!$C:$C,MATCH(B61,Leads!$A:$A,0)),"ID not found"))</f>
        <v/>
      </c>
      <c r="D61" s="11" t="str">
        <f aca="false">IF(B61="","",IFERROR(INDEX(Leads!$B:$B,MATCH(B61,Leads!$A:$A,0)),""))</f>
        <v/>
      </c>
      <c r="E61" s="36"/>
      <c r="F61" s="36"/>
      <c r="G61" s="36"/>
      <c r="H61" s="35"/>
      <c r="I61" s="36"/>
    </row>
    <row r="62" customFormat="false" ht="15" hidden="false" customHeight="false" outlineLevel="0" collapsed="false">
      <c r="A62" s="35"/>
      <c r="B62" s="36"/>
      <c r="C62" s="11" t="str">
        <f aca="false">IF(B62="","",IFERROR(INDEX(Leads!$C:$C,MATCH(B62,Leads!$A:$A,0)),"ID not found"))</f>
        <v/>
      </c>
      <c r="D62" s="11" t="str">
        <f aca="false">IF(B62="","",IFERROR(INDEX(Leads!$B:$B,MATCH(B62,Leads!$A:$A,0)),""))</f>
        <v/>
      </c>
      <c r="E62" s="36"/>
      <c r="F62" s="36"/>
      <c r="G62" s="36"/>
      <c r="H62" s="35"/>
      <c r="I62" s="36"/>
    </row>
    <row r="63" customFormat="false" ht="15" hidden="false" customHeight="false" outlineLevel="0" collapsed="false">
      <c r="A63" s="35"/>
      <c r="B63" s="36"/>
      <c r="C63" s="11" t="str">
        <f aca="false">IF(B63="","",IFERROR(INDEX(Leads!$C:$C,MATCH(B63,Leads!$A:$A,0)),"ID not found"))</f>
        <v/>
      </c>
      <c r="D63" s="11" t="str">
        <f aca="false">IF(B63="","",IFERROR(INDEX(Leads!$B:$B,MATCH(B63,Leads!$A:$A,0)),""))</f>
        <v/>
      </c>
      <c r="E63" s="36"/>
      <c r="F63" s="36"/>
      <c r="G63" s="36"/>
      <c r="H63" s="35"/>
      <c r="I63" s="36"/>
    </row>
    <row r="64" customFormat="false" ht="15" hidden="false" customHeight="false" outlineLevel="0" collapsed="false">
      <c r="A64" s="35"/>
      <c r="B64" s="36"/>
      <c r="C64" s="11" t="str">
        <f aca="false">IF(B64="","",IFERROR(INDEX(Leads!$C:$C,MATCH(B64,Leads!$A:$A,0)),"ID not found"))</f>
        <v/>
      </c>
      <c r="D64" s="11" t="str">
        <f aca="false">IF(B64="","",IFERROR(INDEX(Leads!$B:$B,MATCH(B64,Leads!$A:$A,0)),""))</f>
        <v/>
      </c>
      <c r="E64" s="36"/>
      <c r="F64" s="36"/>
      <c r="G64" s="36"/>
      <c r="H64" s="35"/>
      <c r="I64" s="36"/>
    </row>
    <row r="65" customFormat="false" ht="15" hidden="false" customHeight="false" outlineLevel="0" collapsed="false">
      <c r="A65" s="35"/>
      <c r="B65" s="36"/>
      <c r="C65" s="11" t="str">
        <f aca="false">IF(B65="","",IFERROR(INDEX(Leads!$C:$C,MATCH(B65,Leads!$A:$A,0)),"ID not found"))</f>
        <v/>
      </c>
      <c r="D65" s="11" t="str">
        <f aca="false">IF(B65="","",IFERROR(INDEX(Leads!$B:$B,MATCH(B65,Leads!$A:$A,0)),""))</f>
        <v/>
      </c>
      <c r="E65" s="36"/>
      <c r="F65" s="36"/>
      <c r="G65" s="36"/>
      <c r="H65" s="35"/>
      <c r="I65" s="36"/>
    </row>
    <row r="66" customFormat="false" ht="15" hidden="false" customHeight="false" outlineLevel="0" collapsed="false">
      <c r="A66" s="35"/>
      <c r="B66" s="36"/>
      <c r="C66" s="11" t="str">
        <f aca="false">IF(B66="","",IFERROR(INDEX(Leads!$C:$C,MATCH(B66,Leads!$A:$A,0)),"ID not found"))</f>
        <v/>
      </c>
      <c r="D66" s="11" t="str">
        <f aca="false">IF(B66="","",IFERROR(INDEX(Leads!$B:$B,MATCH(B66,Leads!$A:$A,0)),""))</f>
        <v/>
      </c>
      <c r="E66" s="36"/>
      <c r="F66" s="36"/>
      <c r="G66" s="36"/>
      <c r="H66" s="35"/>
      <c r="I66" s="36"/>
    </row>
    <row r="67" customFormat="false" ht="15" hidden="false" customHeight="false" outlineLevel="0" collapsed="false">
      <c r="A67" s="35"/>
      <c r="B67" s="36"/>
      <c r="C67" s="11" t="str">
        <f aca="false">IF(B67="","",IFERROR(INDEX(Leads!$C:$C,MATCH(B67,Leads!$A:$A,0)),"ID not found"))</f>
        <v/>
      </c>
      <c r="D67" s="11" t="str">
        <f aca="false">IF(B67="","",IFERROR(INDEX(Leads!$B:$B,MATCH(B67,Leads!$A:$A,0)),""))</f>
        <v/>
      </c>
      <c r="E67" s="36"/>
      <c r="F67" s="36"/>
      <c r="G67" s="36"/>
      <c r="H67" s="35"/>
      <c r="I67" s="36"/>
    </row>
    <row r="68" customFormat="false" ht="15" hidden="false" customHeight="false" outlineLevel="0" collapsed="false">
      <c r="A68" s="35"/>
      <c r="B68" s="36"/>
      <c r="C68" s="11" t="str">
        <f aca="false">IF(B68="","",IFERROR(INDEX(Leads!$C:$C,MATCH(B68,Leads!$A:$A,0)),"ID not found"))</f>
        <v/>
      </c>
      <c r="D68" s="11" t="str">
        <f aca="false">IF(B68="","",IFERROR(INDEX(Leads!$B:$B,MATCH(B68,Leads!$A:$A,0)),""))</f>
        <v/>
      </c>
      <c r="E68" s="36"/>
      <c r="F68" s="36"/>
      <c r="G68" s="36"/>
      <c r="H68" s="35"/>
      <c r="I68" s="36"/>
    </row>
    <row r="69" customFormat="false" ht="15" hidden="false" customHeight="false" outlineLevel="0" collapsed="false">
      <c r="A69" s="35"/>
      <c r="B69" s="36"/>
      <c r="C69" s="11" t="str">
        <f aca="false">IF(B69="","",IFERROR(INDEX(Leads!$C:$C,MATCH(B69,Leads!$A:$A,0)),"ID not found"))</f>
        <v/>
      </c>
      <c r="D69" s="11" t="str">
        <f aca="false">IF(B69="","",IFERROR(INDEX(Leads!$B:$B,MATCH(B69,Leads!$A:$A,0)),""))</f>
        <v/>
      </c>
      <c r="E69" s="36"/>
      <c r="F69" s="36"/>
      <c r="G69" s="36"/>
      <c r="H69" s="35"/>
      <c r="I69" s="36"/>
    </row>
    <row r="70" customFormat="false" ht="15" hidden="false" customHeight="false" outlineLevel="0" collapsed="false">
      <c r="A70" s="35"/>
      <c r="B70" s="36"/>
      <c r="C70" s="11" t="str">
        <f aca="false">IF(B70="","",IFERROR(INDEX(Leads!$C:$C,MATCH(B70,Leads!$A:$A,0)),"ID not found"))</f>
        <v/>
      </c>
      <c r="D70" s="11" t="str">
        <f aca="false">IF(B70="","",IFERROR(INDEX(Leads!$B:$B,MATCH(B70,Leads!$A:$A,0)),""))</f>
        <v/>
      </c>
      <c r="E70" s="36"/>
      <c r="F70" s="36"/>
      <c r="G70" s="36"/>
      <c r="H70" s="35"/>
      <c r="I70" s="36"/>
    </row>
    <row r="71" customFormat="false" ht="15" hidden="false" customHeight="false" outlineLevel="0" collapsed="false">
      <c r="A71" s="35"/>
      <c r="B71" s="36"/>
      <c r="C71" s="11" t="str">
        <f aca="false">IF(B71="","",IFERROR(INDEX(Leads!$C:$C,MATCH(B71,Leads!$A:$A,0)),"ID not found"))</f>
        <v/>
      </c>
      <c r="D71" s="11" t="str">
        <f aca="false">IF(B71="","",IFERROR(INDEX(Leads!$B:$B,MATCH(B71,Leads!$A:$A,0)),""))</f>
        <v/>
      </c>
      <c r="E71" s="36"/>
      <c r="F71" s="36"/>
      <c r="G71" s="36"/>
      <c r="H71" s="35"/>
      <c r="I71" s="36"/>
    </row>
    <row r="72" customFormat="false" ht="15" hidden="false" customHeight="false" outlineLevel="0" collapsed="false">
      <c r="A72" s="35"/>
      <c r="B72" s="36"/>
      <c r="C72" s="11" t="str">
        <f aca="false">IF(B72="","",IFERROR(INDEX(Leads!$C:$C,MATCH(B72,Leads!$A:$A,0)),"ID not found"))</f>
        <v/>
      </c>
      <c r="D72" s="11" t="str">
        <f aca="false">IF(B72="","",IFERROR(INDEX(Leads!$B:$B,MATCH(B72,Leads!$A:$A,0)),""))</f>
        <v/>
      </c>
      <c r="E72" s="36"/>
      <c r="F72" s="36"/>
      <c r="G72" s="36"/>
      <c r="H72" s="35"/>
      <c r="I72" s="36"/>
    </row>
    <row r="73" customFormat="false" ht="15" hidden="false" customHeight="false" outlineLevel="0" collapsed="false">
      <c r="A73" s="35"/>
      <c r="B73" s="36"/>
      <c r="C73" s="11" t="str">
        <f aca="false">IF(B73="","",IFERROR(INDEX(Leads!$C:$C,MATCH(B73,Leads!$A:$A,0)),"ID not found"))</f>
        <v/>
      </c>
      <c r="D73" s="11" t="str">
        <f aca="false">IF(B73="","",IFERROR(INDEX(Leads!$B:$B,MATCH(B73,Leads!$A:$A,0)),""))</f>
        <v/>
      </c>
      <c r="E73" s="36"/>
      <c r="F73" s="36"/>
      <c r="G73" s="36"/>
      <c r="H73" s="35"/>
      <c r="I73" s="36"/>
    </row>
    <row r="74" customFormat="false" ht="15" hidden="false" customHeight="false" outlineLevel="0" collapsed="false">
      <c r="A74" s="35"/>
      <c r="B74" s="36"/>
      <c r="C74" s="11" t="str">
        <f aca="false">IF(B74="","",IFERROR(INDEX(Leads!$C:$C,MATCH(B74,Leads!$A:$A,0)),"ID not found"))</f>
        <v/>
      </c>
      <c r="D74" s="11" t="str">
        <f aca="false">IF(B74="","",IFERROR(INDEX(Leads!$B:$B,MATCH(B74,Leads!$A:$A,0)),""))</f>
        <v/>
      </c>
      <c r="E74" s="36"/>
      <c r="F74" s="36"/>
      <c r="G74" s="36"/>
      <c r="H74" s="35"/>
      <c r="I74" s="36"/>
    </row>
    <row r="75" customFormat="false" ht="15" hidden="false" customHeight="false" outlineLevel="0" collapsed="false">
      <c r="A75" s="35"/>
      <c r="B75" s="36"/>
      <c r="C75" s="11" t="str">
        <f aca="false">IF(B75="","",IFERROR(INDEX(Leads!$C:$C,MATCH(B75,Leads!$A:$A,0)),"ID not found"))</f>
        <v/>
      </c>
      <c r="D75" s="11" t="str">
        <f aca="false">IF(B75="","",IFERROR(INDEX(Leads!$B:$B,MATCH(B75,Leads!$A:$A,0)),""))</f>
        <v/>
      </c>
      <c r="E75" s="36"/>
      <c r="F75" s="36"/>
      <c r="G75" s="36"/>
      <c r="H75" s="35"/>
      <c r="I75" s="36"/>
    </row>
    <row r="76" customFormat="false" ht="15" hidden="false" customHeight="false" outlineLevel="0" collapsed="false">
      <c r="A76" s="35"/>
      <c r="B76" s="36"/>
      <c r="C76" s="11" t="str">
        <f aca="false">IF(B76="","",IFERROR(INDEX(Leads!$C:$C,MATCH(B76,Leads!$A:$A,0)),"ID not found"))</f>
        <v/>
      </c>
      <c r="D76" s="11" t="str">
        <f aca="false">IF(B76="","",IFERROR(INDEX(Leads!$B:$B,MATCH(B76,Leads!$A:$A,0)),""))</f>
        <v/>
      </c>
      <c r="E76" s="36"/>
      <c r="F76" s="36"/>
      <c r="G76" s="36"/>
      <c r="H76" s="35"/>
      <c r="I76" s="36"/>
    </row>
    <row r="77" customFormat="false" ht="15" hidden="false" customHeight="false" outlineLevel="0" collapsed="false">
      <c r="A77" s="35"/>
      <c r="B77" s="36"/>
      <c r="C77" s="11" t="str">
        <f aca="false">IF(B77="","",IFERROR(INDEX(Leads!$C:$C,MATCH(B77,Leads!$A:$A,0)),"ID not found"))</f>
        <v/>
      </c>
      <c r="D77" s="11" t="str">
        <f aca="false">IF(B77="","",IFERROR(INDEX(Leads!$B:$B,MATCH(B77,Leads!$A:$A,0)),""))</f>
        <v/>
      </c>
      <c r="E77" s="36"/>
      <c r="F77" s="36"/>
      <c r="G77" s="36"/>
      <c r="H77" s="35"/>
      <c r="I77" s="36"/>
    </row>
    <row r="78" customFormat="false" ht="15" hidden="false" customHeight="false" outlineLevel="0" collapsed="false">
      <c r="A78" s="35"/>
      <c r="B78" s="36"/>
      <c r="C78" s="11" t="str">
        <f aca="false">IF(B78="","",IFERROR(INDEX(Leads!$C:$C,MATCH(B78,Leads!$A:$A,0)),"ID not found"))</f>
        <v/>
      </c>
      <c r="D78" s="11" t="str">
        <f aca="false">IF(B78="","",IFERROR(INDEX(Leads!$B:$B,MATCH(B78,Leads!$A:$A,0)),""))</f>
        <v/>
      </c>
      <c r="E78" s="36"/>
      <c r="F78" s="36"/>
      <c r="G78" s="36"/>
      <c r="H78" s="35"/>
      <c r="I78" s="36"/>
    </row>
    <row r="79" customFormat="false" ht="15" hidden="false" customHeight="false" outlineLevel="0" collapsed="false">
      <c r="A79" s="35"/>
      <c r="B79" s="36"/>
      <c r="C79" s="11" t="str">
        <f aca="false">IF(B79="","",IFERROR(INDEX(Leads!$C:$C,MATCH(B79,Leads!$A:$A,0)),"ID not found"))</f>
        <v/>
      </c>
      <c r="D79" s="11" t="str">
        <f aca="false">IF(B79="","",IFERROR(INDEX(Leads!$B:$B,MATCH(B79,Leads!$A:$A,0)),""))</f>
        <v/>
      </c>
      <c r="E79" s="36"/>
      <c r="F79" s="36"/>
      <c r="G79" s="36"/>
      <c r="H79" s="35"/>
      <c r="I79" s="36"/>
    </row>
    <row r="80" customFormat="false" ht="15" hidden="false" customHeight="false" outlineLevel="0" collapsed="false">
      <c r="A80" s="35"/>
      <c r="B80" s="36"/>
      <c r="C80" s="11" t="str">
        <f aca="false">IF(B80="","",IFERROR(INDEX(Leads!$C:$C,MATCH(B80,Leads!$A:$A,0)),"ID not found"))</f>
        <v/>
      </c>
      <c r="D80" s="11" t="str">
        <f aca="false">IF(B80="","",IFERROR(INDEX(Leads!$B:$B,MATCH(B80,Leads!$A:$A,0)),""))</f>
        <v/>
      </c>
      <c r="E80" s="36"/>
      <c r="F80" s="36"/>
      <c r="G80" s="36"/>
      <c r="H80" s="35"/>
      <c r="I80" s="36"/>
    </row>
    <row r="81" customFormat="false" ht="15" hidden="false" customHeight="false" outlineLevel="0" collapsed="false">
      <c r="A81" s="35"/>
      <c r="B81" s="36"/>
      <c r="C81" s="11" t="str">
        <f aca="false">IF(B81="","",IFERROR(INDEX(Leads!$C:$C,MATCH(B81,Leads!$A:$A,0)),"ID not found"))</f>
        <v/>
      </c>
      <c r="D81" s="11" t="str">
        <f aca="false">IF(B81="","",IFERROR(INDEX(Leads!$B:$B,MATCH(B81,Leads!$A:$A,0)),""))</f>
        <v/>
      </c>
      <c r="E81" s="36"/>
      <c r="F81" s="36"/>
      <c r="G81" s="36"/>
      <c r="H81" s="35"/>
      <c r="I81" s="36"/>
    </row>
    <row r="82" customFormat="false" ht="15" hidden="false" customHeight="false" outlineLevel="0" collapsed="false">
      <c r="A82" s="35"/>
      <c r="B82" s="36"/>
      <c r="C82" s="11" t="str">
        <f aca="false">IF(B82="","",IFERROR(INDEX(Leads!$C:$C,MATCH(B82,Leads!$A:$A,0)),"ID not found"))</f>
        <v/>
      </c>
      <c r="D82" s="11" t="str">
        <f aca="false">IF(B82="","",IFERROR(INDEX(Leads!$B:$B,MATCH(B82,Leads!$A:$A,0)),""))</f>
        <v/>
      </c>
      <c r="E82" s="36"/>
      <c r="F82" s="36"/>
      <c r="G82" s="36"/>
      <c r="H82" s="35"/>
      <c r="I82" s="36"/>
    </row>
    <row r="83" customFormat="false" ht="15" hidden="false" customHeight="false" outlineLevel="0" collapsed="false">
      <c r="A83" s="35"/>
      <c r="B83" s="36"/>
      <c r="C83" s="11" t="str">
        <f aca="false">IF(B83="","",IFERROR(INDEX(Leads!$C:$C,MATCH(B83,Leads!$A:$A,0)),"ID not found"))</f>
        <v/>
      </c>
      <c r="D83" s="11" t="str">
        <f aca="false">IF(B83="","",IFERROR(INDEX(Leads!$B:$B,MATCH(B83,Leads!$A:$A,0)),""))</f>
        <v/>
      </c>
      <c r="E83" s="36"/>
      <c r="F83" s="36"/>
      <c r="G83" s="36"/>
      <c r="H83" s="35"/>
      <c r="I83" s="36"/>
    </row>
    <row r="84" customFormat="false" ht="15" hidden="false" customHeight="false" outlineLevel="0" collapsed="false">
      <c r="A84" s="35"/>
      <c r="B84" s="36"/>
      <c r="C84" s="11" t="str">
        <f aca="false">IF(B84="","",IFERROR(INDEX(Leads!$C:$C,MATCH(B84,Leads!$A:$A,0)),"ID not found"))</f>
        <v/>
      </c>
      <c r="D84" s="11" t="str">
        <f aca="false">IF(B84="","",IFERROR(INDEX(Leads!$B:$B,MATCH(B84,Leads!$A:$A,0)),""))</f>
        <v/>
      </c>
      <c r="E84" s="36"/>
      <c r="F84" s="36"/>
      <c r="G84" s="36"/>
      <c r="H84" s="35"/>
      <c r="I84" s="36"/>
    </row>
    <row r="85" customFormat="false" ht="15" hidden="false" customHeight="false" outlineLevel="0" collapsed="false">
      <c r="A85" s="35"/>
      <c r="B85" s="36"/>
      <c r="C85" s="11" t="str">
        <f aca="false">IF(B85="","",IFERROR(INDEX(Leads!$C:$C,MATCH(B85,Leads!$A:$A,0)),"ID not found"))</f>
        <v/>
      </c>
      <c r="D85" s="11" t="str">
        <f aca="false">IF(B85="","",IFERROR(INDEX(Leads!$B:$B,MATCH(B85,Leads!$A:$A,0)),""))</f>
        <v/>
      </c>
      <c r="E85" s="36"/>
      <c r="F85" s="36"/>
      <c r="G85" s="36"/>
      <c r="H85" s="35"/>
      <c r="I85" s="36"/>
    </row>
    <row r="86" customFormat="false" ht="15" hidden="false" customHeight="false" outlineLevel="0" collapsed="false">
      <c r="A86" s="35"/>
      <c r="B86" s="36"/>
      <c r="C86" s="11" t="str">
        <f aca="false">IF(B86="","",IFERROR(INDEX(Leads!$C:$C,MATCH(B86,Leads!$A:$A,0)),"ID not found"))</f>
        <v/>
      </c>
      <c r="D86" s="11" t="str">
        <f aca="false">IF(B86="","",IFERROR(INDEX(Leads!$B:$B,MATCH(B86,Leads!$A:$A,0)),""))</f>
        <v/>
      </c>
      <c r="E86" s="36"/>
      <c r="F86" s="36"/>
      <c r="G86" s="36"/>
      <c r="H86" s="35"/>
      <c r="I86" s="36"/>
    </row>
    <row r="87" customFormat="false" ht="15" hidden="false" customHeight="false" outlineLevel="0" collapsed="false">
      <c r="A87" s="35"/>
      <c r="B87" s="36"/>
      <c r="C87" s="11" t="str">
        <f aca="false">IF(B87="","",IFERROR(INDEX(Leads!$C:$C,MATCH(B87,Leads!$A:$A,0)),"ID not found"))</f>
        <v/>
      </c>
      <c r="D87" s="11" t="str">
        <f aca="false">IF(B87="","",IFERROR(INDEX(Leads!$B:$B,MATCH(B87,Leads!$A:$A,0)),""))</f>
        <v/>
      </c>
      <c r="E87" s="36"/>
      <c r="F87" s="36"/>
      <c r="G87" s="36"/>
      <c r="H87" s="35"/>
      <c r="I87" s="36"/>
    </row>
    <row r="88" customFormat="false" ht="15" hidden="false" customHeight="false" outlineLevel="0" collapsed="false">
      <c r="A88" s="35"/>
      <c r="B88" s="36"/>
      <c r="C88" s="11" t="str">
        <f aca="false">IF(B88="","",IFERROR(INDEX(Leads!$C:$C,MATCH(B88,Leads!$A:$A,0)),"ID not found"))</f>
        <v/>
      </c>
      <c r="D88" s="11" t="str">
        <f aca="false">IF(B88="","",IFERROR(INDEX(Leads!$B:$B,MATCH(B88,Leads!$A:$A,0)),""))</f>
        <v/>
      </c>
      <c r="E88" s="36"/>
      <c r="F88" s="36"/>
      <c r="G88" s="36"/>
      <c r="H88" s="35"/>
      <c r="I88" s="36"/>
    </row>
    <row r="89" customFormat="false" ht="15" hidden="false" customHeight="false" outlineLevel="0" collapsed="false">
      <c r="A89" s="35"/>
      <c r="B89" s="36"/>
      <c r="C89" s="11" t="str">
        <f aca="false">IF(B89="","",IFERROR(INDEX(Leads!$C:$C,MATCH(B89,Leads!$A:$A,0)),"ID not found"))</f>
        <v/>
      </c>
      <c r="D89" s="11" t="str">
        <f aca="false">IF(B89="","",IFERROR(INDEX(Leads!$B:$B,MATCH(B89,Leads!$A:$A,0)),""))</f>
        <v/>
      </c>
      <c r="E89" s="36"/>
      <c r="F89" s="36"/>
      <c r="G89" s="36"/>
      <c r="H89" s="35"/>
      <c r="I89" s="36"/>
    </row>
    <row r="90" customFormat="false" ht="15" hidden="false" customHeight="false" outlineLevel="0" collapsed="false">
      <c r="A90" s="35"/>
      <c r="B90" s="36"/>
      <c r="C90" s="11" t="str">
        <f aca="false">IF(B90="","",IFERROR(INDEX(Leads!$C:$C,MATCH(B90,Leads!$A:$A,0)),"ID not found"))</f>
        <v/>
      </c>
      <c r="D90" s="11" t="str">
        <f aca="false">IF(B90="","",IFERROR(INDEX(Leads!$B:$B,MATCH(B90,Leads!$A:$A,0)),""))</f>
        <v/>
      </c>
      <c r="E90" s="36"/>
      <c r="F90" s="36"/>
      <c r="G90" s="36"/>
      <c r="H90" s="35"/>
      <c r="I90" s="36"/>
    </row>
    <row r="91" customFormat="false" ht="15" hidden="false" customHeight="false" outlineLevel="0" collapsed="false">
      <c r="A91" s="35"/>
      <c r="B91" s="36"/>
      <c r="C91" s="11" t="str">
        <f aca="false">IF(B91="","",IFERROR(INDEX(Leads!$C:$C,MATCH(B91,Leads!$A:$A,0)),"ID not found"))</f>
        <v/>
      </c>
      <c r="D91" s="11" t="str">
        <f aca="false">IF(B91="","",IFERROR(INDEX(Leads!$B:$B,MATCH(B91,Leads!$A:$A,0)),""))</f>
        <v/>
      </c>
      <c r="E91" s="36"/>
      <c r="F91" s="36"/>
      <c r="G91" s="36"/>
      <c r="H91" s="35"/>
      <c r="I91" s="36"/>
    </row>
    <row r="92" customFormat="false" ht="15" hidden="false" customHeight="false" outlineLevel="0" collapsed="false">
      <c r="A92" s="35"/>
      <c r="B92" s="36"/>
      <c r="C92" s="11" t="str">
        <f aca="false">IF(B92="","",IFERROR(INDEX(Leads!$C:$C,MATCH(B92,Leads!$A:$A,0)),"ID not found"))</f>
        <v/>
      </c>
      <c r="D92" s="11" t="str">
        <f aca="false">IF(B92="","",IFERROR(INDEX(Leads!$B:$B,MATCH(B92,Leads!$A:$A,0)),""))</f>
        <v/>
      </c>
      <c r="E92" s="36"/>
      <c r="F92" s="36"/>
      <c r="G92" s="36"/>
      <c r="H92" s="35"/>
      <c r="I92" s="36"/>
    </row>
    <row r="93" customFormat="false" ht="15" hidden="false" customHeight="false" outlineLevel="0" collapsed="false">
      <c r="A93" s="35"/>
      <c r="B93" s="36"/>
      <c r="C93" s="11" t="str">
        <f aca="false">IF(B93="","",IFERROR(INDEX(Leads!$C:$C,MATCH(B93,Leads!$A:$A,0)),"ID not found"))</f>
        <v/>
      </c>
      <c r="D93" s="11" t="str">
        <f aca="false">IF(B93="","",IFERROR(INDEX(Leads!$B:$B,MATCH(B93,Leads!$A:$A,0)),""))</f>
        <v/>
      </c>
      <c r="E93" s="36"/>
      <c r="F93" s="36"/>
      <c r="G93" s="36"/>
      <c r="H93" s="35"/>
      <c r="I93" s="36"/>
    </row>
    <row r="94" customFormat="false" ht="15" hidden="false" customHeight="false" outlineLevel="0" collapsed="false">
      <c r="A94" s="35"/>
      <c r="B94" s="36"/>
      <c r="C94" s="11" t="str">
        <f aca="false">IF(B94="","",IFERROR(INDEX(Leads!$C:$C,MATCH(B94,Leads!$A:$A,0)),"ID not found"))</f>
        <v/>
      </c>
      <c r="D94" s="11" t="str">
        <f aca="false">IF(B94="","",IFERROR(INDEX(Leads!$B:$B,MATCH(B94,Leads!$A:$A,0)),""))</f>
        <v/>
      </c>
      <c r="E94" s="36"/>
      <c r="F94" s="36"/>
      <c r="G94" s="36"/>
      <c r="H94" s="35"/>
      <c r="I94" s="36"/>
    </row>
    <row r="95" customFormat="false" ht="15" hidden="false" customHeight="false" outlineLevel="0" collapsed="false">
      <c r="A95" s="35"/>
      <c r="B95" s="36"/>
      <c r="C95" s="11" t="str">
        <f aca="false">IF(B95="","",IFERROR(INDEX(Leads!$C:$C,MATCH(B95,Leads!$A:$A,0)),"ID not found"))</f>
        <v/>
      </c>
      <c r="D95" s="11" t="str">
        <f aca="false">IF(B95="","",IFERROR(INDEX(Leads!$B:$B,MATCH(B95,Leads!$A:$A,0)),""))</f>
        <v/>
      </c>
      <c r="E95" s="36"/>
      <c r="F95" s="36"/>
      <c r="G95" s="36"/>
      <c r="H95" s="35"/>
      <c r="I95" s="36"/>
    </row>
    <row r="96" customFormat="false" ht="15" hidden="false" customHeight="false" outlineLevel="0" collapsed="false">
      <c r="A96" s="35"/>
      <c r="B96" s="36"/>
      <c r="C96" s="11" t="str">
        <f aca="false">IF(B96="","",IFERROR(INDEX(Leads!$C:$C,MATCH(B96,Leads!$A:$A,0)),"ID not found"))</f>
        <v/>
      </c>
      <c r="D96" s="11" t="str">
        <f aca="false">IF(B96="","",IFERROR(INDEX(Leads!$B:$B,MATCH(B96,Leads!$A:$A,0)),""))</f>
        <v/>
      </c>
      <c r="E96" s="36"/>
      <c r="F96" s="36"/>
      <c r="G96" s="36"/>
      <c r="H96" s="35"/>
      <c r="I96" s="36"/>
    </row>
    <row r="97" customFormat="false" ht="15" hidden="false" customHeight="false" outlineLevel="0" collapsed="false">
      <c r="A97" s="35"/>
      <c r="B97" s="36"/>
      <c r="C97" s="11" t="str">
        <f aca="false">IF(B97="","",IFERROR(INDEX(Leads!$C:$C,MATCH(B97,Leads!$A:$A,0)),"ID not found"))</f>
        <v/>
      </c>
      <c r="D97" s="11" t="str">
        <f aca="false">IF(B97="","",IFERROR(INDEX(Leads!$B:$B,MATCH(B97,Leads!$A:$A,0)),""))</f>
        <v/>
      </c>
      <c r="E97" s="36"/>
      <c r="F97" s="36"/>
      <c r="G97" s="36"/>
      <c r="H97" s="35"/>
      <c r="I97" s="36"/>
    </row>
    <row r="98" customFormat="false" ht="15" hidden="false" customHeight="false" outlineLevel="0" collapsed="false">
      <c r="A98" s="35"/>
      <c r="B98" s="36"/>
      <c r="C98" s="11" t="str">
        <f aca="false">IF(B98="","",IFERROR(INDEX(Leads!$C:$C,MATCH(B98,Leads!$A:$A,0)),"ID not found"))</f>
        <v/>
      </c>
      <c r="D98" s="11" t="str">
        <f aca="false">IF(B98="","",IFERROR(INDEX(Leads!$B:$B,MATCH(B98,Leads!$A:$A,0)),""))</f>
        <v/>
      </c>
      <c r="E98" s="36"/>
      <c r="F98" s="36"/>
      <c r="G98" s="36"/>
      <c r="H98" s="35"/>
      <c r="I98" s="36"/>
    </row>
    <row r="99" customFormat="false" ht="15" hidden="false" customHeight="false" outlineLevel="0" collapsed="false">
      <c r="A99" s="35"/>
      <c r="B99" s="36"/>
      <c r="C99" s="11" t="str">
        <f aca="false">IF(B99="","",IFERROR(INDEX(Leads!$C:$C,MATCH(B99,Leads!$A:$A,0)),"ID not found"))</f>
        <v/>
      </c>
      <c r="D99" s="11" t="str">
        <f aca="false">IF(B99="","",IFERROR(INDEX(Leads!$B:$B,MATCH(B99,Leads!$A:$A,0)),""))</f>
        <v/>
      </c>
      <c r="E99" s="36"/>
      <c r="F99" s="36"/>
      <c r="G99" s="36"/>
      <c r="H99" s="35"/>
      <c r="I99" s="36"/>
    </row>
    <row r="100" customFormat="false" ht="15" hidden="false" customHeight="false" outlineLevel="0" collapsed="false">
      <c r="A100" s="35"/>
      <c r="B100" s="36"/>
      <c r="C100" s="11" t="str">
        <f aca="false">IF(B100="","",IFERROR(INDEX(Leads!$C:$C,MATCH(B100,Leads!$A:$A,0)),"ID not found"))</f>
        <v/>
      </c>
      <c r="D100" s="11" t="str">
        <f aca="false">IF(B100="","",IFERROR(INDEX(Leads!$B:$B,MATCH(B100,Leads!$A:$A,0)),""))</f>
        <v/>
      </c>
      <c r="E100" s="36"/>
      <c r="F100" s="36"/>
      <c r="G100" s="36"/>
      <c r="H100" s="35"/>
      <c r="I100" s="36"/>
    </row>
    <row r="101" customFormat="false" ht="15" hidden="false" customHeight="false" outlineLevel="0" collapsed="false">
      <c r="A101" s="35"/>
      <c r="B101" s="36"/>
      <c r="C101" s="11" t="str">
        <f aca="false">IF(B101="","",IFERROR(INDEX(Leads!$C:$C,MATCH(B101,Leads!$A:$A,0)),"ID not found"))</f>
        <v/>
      </c>
      <c r="D101" s="11" t="str">
        <f aca="false">IF(B101="","",IFERROR(INDEX(Leads!$B:$B,MATCH(B101,Leads!$A:$A,0)),""))</f>
        <v/>
      </c>
      <c r="E101" s="36"/>
      <c r="F101" s="36"/>
      <c r="G101" s="36"/>
      <c r="H101" s="35"/>
      <c r="I101" s="36"/>
    </row>
    <row r="102" customFormat="false" ht="15" hidden="false" customHeight="false" outlineLevel="0" collapsed="false">
      <c r="A102" s="35"/>
      <c r="B102" s="36"/>
      <c r="C102" s="11" t="str">
        <f aca="false">IF(B102="","",IFERROR(INDEX(Leads!$C:$C,MATCH(B102,Leads!$A:$A,0)),"ID not found"))</f>
        <v/>
      </c>
      <c r="D102" s="11" t="str">
        <f aca="false">IF(B102="","",IFERROR(INDEX(Leads!$B:$B,MATCH(B102,Leads!$A:$A,0)),""))</f>
        <v/>
      </c>
      <c r="E102" s="36"/>
      <c r="F102" s="36"/>
      <c r="G102" s="36"/>
      <c r="H102" s="35"/>
      <c r="I102" s="36"/>
    </row>
    <row r="103" customFormat="false" ht="15" hidden="false" customHeight="false" outlineLevel="0" collapsed="false">
      <c r="A103" s="35"/>
      <c r="B103" s="36"/>
      <c r="C103" s="11" t="str">
        <f aca="false">IF(B103="","",IFERROR(INDEX(Leads!$C:$C,MATCH(B103,Leads!$A:$A,0)),"ID not found"))</f>
        <v/>
      </c>
      <c r="D103" s="11" t="str">
        <f aca="false">IF(B103="","",IFERROR(INDEX(Leads!$B:$B,MATCH(B103,Leads!$A:$A,0)),""))</f>
        <v/>
      </c>
      <c r="E103" s="36"/>
      <c r="F103" s="36"/>
      <c r="G103" s="36"/>
      <c r="H103" s="35"/>
      <c r="I103" s="36"/>
    </row>
    <row r="104" customFormat="false" ht="15" hidden="false" customHeight="false" outlineLevel="0" collapsed="false">
      <c r="A104" s="35"/>
      <c r="B104" s="36"/>
      <c r="C104" s="11" t="str">
        <f aca="false">IF(B104="","",IFERROR(INDEX(Leads!$C:$C,MATCH(B104,Leads!$A:$A,0)),"ID not found"))</f>
        <v/>
      </c>
      <c r="D104" s="11" t="str">
        <f aca="false">IF(B104="","",IFERROR(INDEX(Leads!$B:$B,MATCH(B104,Leads!$A:$A,0)),""))</f>
        <v/>
      </c>
      <c r="E104" s="36"/>
      <c r="F104" s="36"/>
      <c r="G104" s="36"/>
      <c r="H104" s="35"/>
      <c r="I104" s="36"/>
    </row>
    <row r="105" customFormat="false" ht="15" hidden="false" customHeight="false" outlineLevel="0" collapsed="false">
      <c r="A105" s="35"/>
      <c r="B105" s="36"/>
      <c r="C105" s="11" t="str">
        <f aca="false">IF(B105="","",IFERROR(INDEX(Leads!$C:$C,MATCH(B105,Leads!$A:$A,0)),"ID not found"))</f>
        <v/>
      </c>
      <c r="D105" s="11" t="str">
        <f aca="false">IF(B105="","",IFERROR(INDEX(Leads!$B:$B,MATCH(B105,Leads!$A:$A,0)),""))</f>
        <v/>
      </c>
      <c r="E105" s="36"/>
      <c r="F105" s="36"/>
      <c r="G105" s="36"/>
      <c r="H105" s="35"/>
      <c r="I105" s="36"/>
    </row>
    <row r="106" customFormat="false" ht="15" hidden="false" customHeight="false" outlineLevel="0" collapsed="false">
      <c r="A106" s="35"/>
      <c r="B106" s="36"/>
      <c r="C106" s="11" t="str">
        <f aca="false">IF(B106="","",IFERROR(INDEX(Leads!$C:$C,MATCH(B106,Leads!$A:$A,0)),"ID not found"))</f>
        <v/>
      </c>
      <c r="D106" s="11" t="str">
        <f aca="false">IF(B106="","",IFERROR(INDEX(Leads!$B:$B,MATCH(B106,Leads!$A:$A,0)),""))</f>
        <v/>
      </c>
      <c r="E106" s="36"/>
      <c r="F106" s="36"/>
      <c r="G106" s="36"/>
      <c r="H106" s="35"/>
      <c r="I106" s="36"/>
    </row>
    <row r="107" customFormat="false" ht="15" hidden="false" customHeight="false" outlineLevel="0" collapsed="false">
      <c r="A107" s="35"/>
      <c r="B107" s="36"/>
      <c r="C107" s="11" t="str">
        <f aca="false">IF(B107="","",IFERROR(INDEX(Leads!$C:$C,MATCH(B107,Leads!$A:$A,0)),"ID not found"))</f>
        <v/>
      </c>
      <c r="D107" s="11" t="str">
        <f aca="false">IF(B107="","",IFERROR(INDEX(Leads!$B:$B,MATCH(B107,Leads!$A:$A,0)),""))</f>
        <v/>
      </c>
      <c r="E107" s="36"/>
      <c r="F107" s="36"/>
      <c r="G107" s="36"/>
      <c r="H107" s="35"/>
      <c r="I107" s="36"/>
    </row>
    <row r="108" customFormat="false" ht="15" hidden="false" customHeight="false" outlineLevel="0" collapsed="false">
      <c r="A108" s="35"/>
      <c r="B108" s="36"/>
      <c r="C108" s="11" t="str">
        <f aca="false">IF(B108="","",IFERROR(INDEX(Leads!$C:$C,MATCH(B108,Leads!$A:$A,0)),"ID not found"))</f>
        <v/>
      </c>
      <c r="D108" s="11" t="str">
        <f aca="false">IF(B108="","",IFERROR(INDEX(Leads!$B:$B,MATCH(B108,Leads!$A:$A,0)),""))</f>
        <v/>
      </c>
      <c r="E108" s="36"/>
      <c r="F108" s="36"/>
      <c r="G108" s="36"/>
      <c r="H108" s="35"/>
      <c r="I108" s="36"/>
    </row>
    <row r="109" customFormat="false" ht="15" hidden="false" customHeight="false" outlineLevel="0" collapsed="false">
      <c r="A109" s="35"/>
      <c r="B109" s="36"/>
      <c r="C109" s="11" t="str">
        <f aca="false">IF(B109="","",IFERROR(INDEX(Leads!$C:$C,MATCH(B109,Leads!$A:$A,0)),"ID not found"))</f>
        <v/>
      </c>
      <c r="D109" s="11" t="str">
        <f aca="false">IF(B109="","",IFERROR(INDEX(Leads!$B:$B,MATCH(B109,Leads!$A:$A,0)),""))</f>
        <v/>
      </c>
      <c r="E109" s="36"/>
      <c r="F109" s="36"/>
      <c r="G109" s="36"/>
      <c r="H109" s="35"/>
      <c r="I109" s="36"/>
    </row>
    <row r="110" customFormat="false" ht="15" hidden="false" customHeight="false" outlineLevel="0" collapsed="false">
      <c r="A110" s="35"/>
      <c r="B110" s="36"/>
      <c r="C110" s="11" t="str">
        <f aca="false">IF(B110="","",IFERROR(INDEX(Leads!$C:$C,MATCH(B110,Leads!$A:$A,0)),"ID not found"))</f>
        <v/>
      </c>
      <c r="D110" s="11" t="str">
        <f aca="false">IF(B110="","",IFERROR(INDEX(Leads!$B:$B,MATCH(B110,Leads!$A:$A,0)),""))</f>
        <v/>
      </c>
      <c r="E110" s="36"/>
      <c r="F110" s="36"/>
      <c r="G110" s="36"/>
      <c r="H110" s="35"/>
      <c r="I110" s="36"/>
    </row>
    <row r="111" customFormat="false" ht="15" hidden="false" customHeight="false" outlineLevel="0" collapsed="false">
      <c r="A111" s="35"/>
      <c r="B111" s="36"/>
      <c r="C111" s="11" t="str">
        <f aca="false">IF(B111="","",IFERROR(INDEX(Leads!$C:$C,MATCH(B111,Leads!$A:$A,0)),"ID not found"))</f>
        <v/>
      </c>
      <c r="D111" s="11" t="str">
        <f aca="false">IF(B111="","",IFERROR(INDEX(Leads!$B:$B,MATCH(B111,Leads!$A:$A,0)),""))</f>
        <v/>
      </c>
      <c r="E111" s="36"/>
      <c r="F111" s="36"/>
      <c r="G111" s="36"/>
      <c r="H111" s="35"/>
      <c r="I111" s="36"/>
    </row>
    <row r="112" customFormat="false" ht="15" hidden="false" customHeight="false" outlineLevel="0" collapsed="false">
      <c r="A112" s="35"/>
      <c r="B112" s="36"/>
      <c r="C112" s="11" t="str">
        <f aca="false">IF(B112="","",IFERROR(INDEX(Leads!$C:$C,MATCH(B112,Leads!$A:$A,0)),"ID not found"))</f>
        <v/>
      </c>
      <c r="D112" s="11" t="str">
        <f aca="false">IF(B112="","",IFERROR(INDEX(Leads!$B:$B,MATCH(B112,Leads!$A:$A,0)),""))</f>
        <v/>
      </c>
      <c r="E112" s="36"/>
      <c r="F112" s="36"/>
      <c r="G112" s="36"/>
      <c r="H112" s="35"/>
      <c r="I112" s="36"/>
    </row>
    <row r="113" customFormat="false" ht="15" hidden="false" customHeight="false" outlineLevel="0" collapsed="false">
      <c r="A113" s="35"/>
      <c r="B113" s="36"/>
      <c r="C113" s="11" t="str">
        <f aca="false">IF(B113="","",IFERROR(INDEX(Leads!$C:$C,MATCH(B113,Leads!$A:$A,0)),"ID not found"))</f>
        <v/>
      </c>
      <c r="D113" s="11" t="str">
        <f aca="false">IF(B113="","",IFERROR(INDEX(Leads!$B:$B,MATCH(B113,Leads!$A:$A,0)),""))</f>
        <v/>
      </c>
      <c r="E113" s="36"/>
      <c r="F113" s="36"/>
      <c r="G113" s="36"/>
      <c r="H113" s="35"/>
      <c r="I113" s="36"/>
    </row>
    <row r="114" customFormat="false" ht="15" hidden="false" customHeight="false" outlineLevel="0" collapsed="false">
      <c r="A114" s="35"/>
      <c r="B114" s="36"/>
      <c r="C114" s="11" t="str">
        <f aca="false">IF(B114="","",IFERROR(INDEX(Leads!$C:$C,MATCH(B114,Leads!$A:$A,0)),"ID not found"))</f>
        <v/>
      </c>
      <c r="D114" s="11" t="str">
        <f aca="false">IF(B114="","",IFERROR(INDEX(Leads!$B:$B,MATCH(B114,Leads!$A:$A,0)),""))</f>
        <v/>
      </c>
      <c r="E114" s="36"/>
      <c r="F114" s="36"/>
      <c r="G114" s="36"/>
      <c r="H114" s="35"/>
      <c r="I114" s="36"/>
    </row>
    <row r="115" customFormat="false" ht="15" hidden="false" customHeight="false" outlineLevel="0" collapsed="false">
      <c r="A115" s="35"/>
      <c r="B115" s="36"/>
      <c r="C115" s="11" t="str">
        <f aca="false">IF(B115="","",IFERROR(INDEX(Leads!$C:$C,MATCH(B115,Leads!$A:$A,0)),"ID not found"))</f>
        <v/>
      </c>
      <c r="D115" s="11" t="str">
        <f aca="false">IF(B115="","",IFERROR(INDEX(Leads!$B:$B,MATCH(B115,Leads!$A:$A,0)),""))</f>
        <v/>
      </c>
      <c r="E115" s="36"/>
      <c r="F115" s="36"/>
      <c r="G115" s="36"/>
      <c r="H115" s="35"/>
      <c r="I115" s="36"/>
    </row>
    <row r="116" customFormat="false" ht="15" hidden="false" customHeight="false" outlineLevel="0" collapsed="false">
      <c r="A116" s="35"/>
      <c r="B116" s="36"/>
      <c r="C116" s="11" t="str">
        <f aca="false">IF(B116="","",IFERROR(INDEX(Leads!$C:$C,MATCH(B116,Leads!$A:$A,0)),"ID not found"))</f>
        <v/>
      </c>
      <c r="D116" s="11" t="str">
        <f aca="false">IF(B116="","",IFERROR(INDEX(Leads!$B:$B,MATCH(B116,Leads!$A:$A,0)),""))</f>
        <v/>
      </c>
      <c r="E116" s="36"/>
      <c r="F116" s="36"/>
      <c r="G116" s="36"/>
      <c r="H116" s="35"/>
      <c r="I116" s="36"/>
    </row>
    <row r="117" customFormat="false" ht="15" hidden="false" customHeight="false" outlineLevel="0" collapsed="false">
      <c r="A117" s="35"/>
      <c r="B117" s="36"/>
      <c r="C117" s="11" t="str">
        <f aca="false">IF(B117="","",IFERROR(INDEX(Leads!$C:$C,MATCH(B117,Leads!$A:$A,0)),"ID not found"))</f>
        <v/>
      </c>
      <c r="D117" s="11" t="str">
        <f aca="false">IF(B117="","",IFERROR(INDEX(Leads!$B:$B,MATCH(B117,Leads!$A:$A,0)),""))</f>
        <v/>
      </c>
      <c r="E117" s="36"/>
      <c r="F117" s="36"/>
      <c r="G117" s="36"/>
      <c r="H117" s="35"/>
      <c r="I117" s="36"/>
    </row>
    <row r="118" customFormat="false" ht="15" hidden="false" customHeight="false" outlineLevel="0" collapsed="false">
      <c r="A118" s="35"/>
      <c r="B118" s="36"/>
      <c r="C118" s="11" t="str">
        <f aca="false">IF(B118="","",IFERROR(INDEX(Leads!$C:$C,MATCH(B118,Leads!$A:$A,0)),"ID not found"))</f>
        <v/>
      </c>
      <c r="D118" s="11" t="str">
        <f aca="false">IF(B118="","",IFERROR(INDEX(Leads!$B:$B,MATCH(B118,Leads!$A:$A,0)),""))</f>
        <v/>
      </c>
      <c r="E118" s="36"/>
      <c r="F118" s="36"/>
      <c r="G118" s="36"/>
      <c r="H118" s="35"/>
      <c r="I118" s="36"/>
    </row>
    <row r="119" customFormat="false" ht="15" hidden="false" customHeight="false" outlineLevel="0" collapsed="false">
      <c r="A119" s="35"/>
      <c r="B119" s="36"/>
      <c r="C119" s="11" t="str">
        <f aca="false">IF(B119="","",IFERROR(INDEX(Leads!$C:$C,MATCH(B119,Leads!$A:$A,0)),"ID not found"))</f>
        <v/>
      </c>
      <c r="D119" s="11" t="str">
        <f aca="false">IF(B119="","",IFERROR(INDEX(Leads!$B:$B,MATCH(B119,Leads!$A:$A,0)),""))</f>
        <v/>
      </c>
      <c r="E119" s="36"/>
      <c r="F119" s="36"/>
      <c r="G119" s="36"/>
      <c r="H119" s="35"/>
      <c r="I119" s="36"/>
    </row>
    <row r="120" customFormat="false" ht="15" hidden="false" customHeight="false" outlineLevel="0" collapsed="false">
      <c r="A120" s="35"/>
      <c r="B120" s="36"/>
      <c r="C120" s="11" t="str">
        <f aca="false">IF(B120="","",IFERROR(INDEX(Leads!$C:$C,MATCH(B120,Leads!$A:$A,0)),"ID not found"))</f>
        <v/>
      </c>
      <c r="D120" s="11" t="str">
        <f aca="false">IF(B120="","",IFERROR(INDEX(Leads!$B:$B,MATCH(B120,Leads!$A:$A,0)),""))</f>
        <v/>
      </c>
      <c r="E120" s="36"/>
      <c r="F120" s="36"/>
      <c r="G120" s="36"/>
      <c r="H120" s="35"/>
      <c r="I120" s="36"/>
    </row>
    <row r="121" customFormat="false" ht="15" hidden="false" customHeight="false" outlineLevel="0" collapsed="false">
      <c r="A121" s="35"/>
      <c r="B121" s="36"/>
      <c r="C121" s="11" t="str">
        <f aca="false">IF(B121="","",IFERROR(INDEX(Leads!$C:$C,MATCH(B121,Leads!$A:$A,0)),"ID not found"))</f>
        <v/>
      </c>
      <c r="D121" s="11" t="str">
        <f aca="false">IF(B121="","",IFERROR(INDEX(Leads!$B:$B,MATCH(B121,Leads!$A:$A,0)),""))</f>
        <v/>
      </c>
      <c r="E121" s="36"/>
      <c r="F121" s="36"/>
      <c r="G121" s="36"/>
      <c r="H121" s="35"/>
      <c r="I121" s="36"/>
    </row>
    <row r="122" customFormat="false" ht="15" hidden="false" customHeight="false" outlineLevel="0" collapsed="false">
      <c r="A122" s="35"/>
      <c r="B122" s="36"/>
      <c r="C122" s="11" t="str">
        <f aca="false">IF(B122="","",IFERROR(INDEX(Leads!$C:$C,MATCH(B122,Leads!$A:$A,0)),"ID not found"))</f>
        <v/>
      </c>
      <c r="D122" s="11" t="str">
        <f aca="false">IF(B122="","",IFERROR(INDEX(Leads!$B:$B,MATCH(B122,Leads!$A:$A,0)),""))</f>
        <v/>
      </c>
      <c r="E122" s="36"/>
      <c r="F122" s="36"/>
      <c r="G122" s="36"/>
      <c r="H122" s="35"/>
      <c r="I122" s="36"/>
    </row>
    <row r="123" customFormat="false" ht="15" hidden="false" customHeight="false" outlineLevel="0" collapsed="false">
      <c r="A123" s="35"/>
      <c r="B123" s="36"/>
      <c r="C123" s="11" t="str">
        <f aca="false">IF(B123="","",IFERROR(INDEX(Leads!$C:$C,MATCH(B123,Leads!$A:$A,0)),"ID not found"))</f>
        <v/>
      </c>
      <c r="D123" s="11" t="str">
        <f aca="false">IF(B123="","",IFERROR(INDEX(Leads!$B:$B,MATCH(B123,Leads!$A:$A,0)),""))</f>
        <v/>
      </c>
      <c r="E123" s="36"/>
      <c r="F123" s="36"/>
      <c r="G123" s="36"/>
      <c r="H123" s="35"/>
      <c r="I123" s="36"/>
    </row>
    <row r="124" customFormat="false" ht="15" hidden="false" customHeight="false" outlineLevel="0" collapsed="false">
      <c r="A124" s="35"/>
      <c r="B124" s="36"/>
      <c r="C124" s="11" t="str">
        <f aca="false">IF(B124="","",IFERROR(INDEX(Leads!$C:$C,MATCH(B124,Leads!$A:$A,0)),"ID not found"))</f>
        <v/>
      </c>
      <c r="D124" s="11" t="str">
        <f aca="false">IF(B124="","",IFERROR(INDEX(Leads!$B:$B,MATCH(B124,Leads!$A:$A,0)),""))</f>
        <v/>
      </c>
      <c r="E124" s="36"/>
      <c r="F124" s="36"/>
      <c r="G124" s="36"/>
      <c r="H124" s="35"/>
      <c r="I124" s="36"/>
    </row>
    <row r="125" customFormat="false" ht="15" hidden="false" customHeight="false" outlineLevel="0" collapsed="false">
      <c r="A125" s="35"/>
      <c r="B125" s="36"/>
      <c r="C125" s="11" t="str">
        <f aca="false">IF(B125="","",IFERROR(INDEX(Leads!$C:$C,MATCH(B125,Leads!$A:$A,0)),"ID not found"))</f>
        <v/>
      </c>
      <c r="D125" s="11" t="str">
        <f aca="false">IF(B125="","",IFERROR(INDEX(Leads!$B:$B,MATCH(B125,Leads!$A:$A,0)),""))</f>
        <v/>
      </c>
      <c r="E125" s="36"/>
      <c r="F125" s="36"/>
      <c r="G125" s="36"/>
      <c r="H125" s="35"/>
      <c r="I125" s="36"/>
    </row>
    <row r="126" customFormat="false" ht="15" hidden="false" customHeight="false" outlineLevel="0" collapsed="false">
      <c r="A126" s="35"/>
      <c r="B126" s="36"/>
      <c r="C126" s="11" t="str">
        <f aca="false">IF(B126="","",IFERROR(INDEX(Leads!$C:$C,MATCH(B126,Leads!$A:$A,0)),"ID not found"))</f>
        <v/>
      </c>
      <c r="D126" s="11" t="str">
        <f aca="false">IF(B126="","",IFERROR(INDEX(Leads!$B:$B,MATCH(B126,Leads!$A:$A,0)),""))</f>
        <v/>
      </c>
      <c r="E126" s="36"/>
      <c r="F126" s="36"/>
      <c r="G126" s="36"/>
      <c r="H126" s="35"/>
      <c r="I126" s="36"/>
    </row>
    <row r="127" customFormat="false" ht="15" hidden="false" customHeight="false" outlineLevel="0" collapsed="false">
      <c r="A127" s="35"/>
      <c r="B127" s="36"/>
      <c r="C127" s="11" t="str">
        <f aca="false">IF(B127="","",IFERROR(INDEX(Leads!$C:$C,MATCH(B127,Leads!$A:$A,0)),"ID not found"))</f>
        <v/>
      </c>
      <c r="D127" s="11" t="str">
        <f aca="false">IF(B127="","",IFERROR(INDEX(Leads!$B:$B,MATCH(B127,Leads!$A:$A,0)),""))</f>
        <v/>
      </c>
      <c r="E127" s="36"/>
      <c r="F127" s="36"/>
      <c r="G127" s="36"/>
      <c r="H127" s="35"/>
      <c r="I127" s="36"/>
    </row>
    <row r="128" customFormat="false" ht="15" hidden="false" customHeight="false" outlineLevel="0" collapsed="false">
      <c r="A128" s="35"/>
      <c r="B128" s="36"/>
      <c r="C128" s="11" t="str">
        <f aca="false">IF(B128="","",IFERROR(INDEX(Leads!$C:$C,MATCH(B128,Leads!$A:$A,0)),"ID not found"))</f>
        <v/>
      </c>
      <c r="D128" s="11" t="str">
        <f aca="false">IF(B128="","",IFERROR(INDEX(Leads!$B:$B,MATCH(B128,Leads!$A:$A,0)),""))</f>
        <v/>
      </c>
      <c r="E128" s="36"/>
      <c r="F128" s="36"/>
      <c r="G128" s="36"/>
      <c r="H128" s="35"/>
      <c r="I128" s="36"/>
    </row>
    <row r="129" customFormat="false" ht="15" hidden="false" customHeight="false" outlineLevel="0" collapsed="false">
      <c r="A129" s="35"/>
      <c r="B129" s="36"/>
      <c r="C129" s="11" t="str">
        <f aca="false">IF(B129="","",IFERROR(INDEX(Leads!$C:$C,MATCH(B129,Leads!$A:$A,0)),"ID not found"))</f>
        <v/>
      </c>
      <c r="D129" s="11" t="str">
        <f aca="false">IF(B129="","",IFERROR(INDEX(Leads!$B:$B,MATCH(B129,Leads!$A:$A,0)),""))</f>
        <v/>
      </c>
      <c r="E129" s="36"/>
      <c r="F129" s="36"/>
      <c r="G129" s="36"/>
      <c r="H129" s="35"/>
      <c r="I129" s="36"/>
    </row>
    <row r="130" customFormat="false" ht="15" hidden="false" customHeight="false" outlineLevel="0" collapsed="false">
      <c r="A130" s="35"/>
      <c r="B130" s="36"/>
      <c r="C130" s="11" t="str">
        <f aca="false">IF(B130="","",IFERROR(INDEX(Leads!$C:$C,MATCH(B130,Leads!$A:$A,0)),"ID not found"))</f>
        <v/>
      </c>
      <c r="D130" s="11" t="str">
        <f aca="false">IF(B130="","",IFERROR(INDEX(Leads!$B:$B,MATCH(B130,Leads!$A:$A,0)),""))</f>
        <v/>
      </c>
      <c r="E130" s="36"/>
      <c r="F130" s="36"/>
      <c r="G130" s="36"/>
      <c r="H130" s="35"/>
      <c r="I130" s="36"/>
    </row>
    <row r="131" customFormat="false" ht="15" hidden="false" customHeight="false" outlineLevel="0" collapsed="false">
      <c r="A131" s="35"/>
      <c r="B131" s="36"/>
      <c r="C131" s="11" t="str">
        <f aca="false">IF(B131="","",IFERROR(INDEX(Leads!$C:$C,MATCH(B131,Leads!$A:$A,0)),"ID not found"))</f>
        <v/>
      </c>
      <c r="D131" s="11" t="str">
        <f aca="false">IF(B131="","",IFERROR(INDEX(Leads!$B:$B,MATCH(B131,Leads!$A:$A,0)),""))</f>
        <v/>
      </c>
      <c r="E131" s="36"/>
      <c r="F131" s="36"/>
      <c r="G131" s="36"/>
      <c r="H131" s="35"/>
      <c r="I131" s="36"/>
    </row>
    <row r="132" customFormat="false" ht="15" hidden="false" customHeight="false" outlineLevel="0" collapsed="false">
      <c r="A132" s="35"/>
      <c r="B132" s="36"/>
      <c r="C132" s="11" t="str">
        <f aca="false">IF(B132="","",IFERROR(INDEX(Leads!$C:$C,MATCH(B132,Leads!$A:$A,0)),"ID not found"))</f>
        <v/>
      </c>
      <c r="D132" s="11" t="str">
        <f aca="false">IF(B132="","",IFERROR(INDEX(Leads!$B:$B,MATCH(B132,Leads!$A:$A,0)),""))</f>
        <v/>
      </c>
      <c r="E132" s="36"/>
      <c r="F132" s="36"/>
      <c r="G132" s="36"/>
      <c r="H132" s="35"/>
      <c r="I132" s="36"/>
    </row>
    <row r="133" customFormat="false" ht="15" hidden="false" customHeight="false" outlineLevel="0" collapsed="false">
      <c r="A133" s="35"/>
      <c r="B133" s="36"/>
      <c r="C133" s="11" t="str">
        <f aca="false">IF(B133="","",IFERROR(INDEX(Leads!$C:$C,MATCH(B133,Leads!$A:$A,0)),"ID not found"))</f>
        <v/>
      </c>
      <c r="D133" s="11" t="str">
        <f aca="false">IF(B133="","",IFERROR(INDEX(Leads!$B:$B,MATCH(B133,Leads!$A:$A,0)),""))</f>
        <v/>
      </c>
      <c r="E133" s="36"/>
      <c r="F133" s="36"/>
      <c r="G133" s="36"/>
      <c r="H133" s="35"/>
      <c r="I133" s="36"/>
    </row>
    <row r="134" customFormat="false" ht="15" hidden="false" customHeight="false" outlineLevel="0" collapsed="false">
      <c r="A134" s="35"/>
      <c r="B134" s="36"/>
      <c r="C134" s="11" t="str">
        <f aca="false">IF(B134="","",IFERROR(INDEX(Leads!$C:$C,MATCH(B134,Leads!$A:$A,0)),"ID not found"))</f>
        <v/>
      </c>
      <c r="D134" s="11" t="str">
        <f aca="false">IF(B134="","",IFERROR(INDEX(Leads!$B:$B,MATCH(B134,Leads!$A:$A,0)),""))</f>
        <v/>
      </c>
      <c r="E134" s="36"/>
      <c r="F134" s="36"/>
      <c r="G134" s="36"/>
      <c r="H134" s="35"/>
      <c r="I134" s="36"/>
    </row>
    <row r="135" customFormat="false" ht="15" hidden="false" customHeight="false" outlineLevel="0" collapsed="false">
      <c r="A135" s="35"/>
      <c r="B135" s="36"/>
      <c r="C135" s="11" t="str">
        <f aca="false">IF(B135="","",IFERROR(INDEX(Leads!$C:$C,MATCH(B135,Leads!$A:$A,0)),"ID not found"))</f>
        <v/>
      </c>
      <c r="D135" s="11" t="str">
        <f aca="false">IF(B135="","",IFERROR(INDEX(Leads!$B:$B,MATCH(B135,Leads!$A:$A,0)),""))</f>
        <v/>
      </c>
      <c r="E135" s="36"/>
      <c r="F135" s="36"/>
      <c r="G135" s="36"/>
      <c r="H135" s="35"/>
      <c r="I135" s="36"/>
    </row>
    <row r="136" customFormat="false" ht="15" hidden="false" customHeight="false" outlineLevel="0" collapsed="false">
      <c r="A136" s="35"/>
      <c r="B136" s="36"/>
      <c r="C136" s="11" t="str">
        <f aca="false">IF(B136="","",IFERROR(INDEX(Leads!$C:$C,MATCH(B136,Leads!$A:$A,0)),"ID not found"))</f>
        <v/>
      </c>
      <c r="D136" s="11" t="str">
        <f aca="false">IF(B136="","",IFERROR(INDEX(Leads!$B:$B,MATCH(B136,Leads!$A:$A,0)),""))</f>
        <v/>
      </c>
      <c r="E136" s="36"/>
      <c r="F136" s="36"/>
      <c r="G136" s="36"/>
      <c r="H136" s="35"/>
      <c r="I136" s="36"/>
    </row>
    <row r="137" customFormat="false" ht="15" hidden="false" customHeight="false" outlineLevel="0" collapsed="false">
      <c r="A137" s="35"/>
      <c r="B137" s="36"/>
      <c r="C137" s="11" t="str">
        <f aca="false">IF(B137="","",IFERROR(INDEX(Leads!$C:$C,MATCH(B137,Leads!$A:$A,0)),"ID not found"))</f>
        <v/>
      </c>
      <c r="D137" s="11" t="str">
        <f aca="false">IF(B137="","",IFERROR(INDEX(Leads!$B:$B,MATCH(B137,Leads!$A:$A,0)),""))</f>
        <v/>
      </c>
      <c r="E137" s="36"/>
      <c r="F137" s="36"/>
      <c r="G137" s="36"/>
      <c r="H137" s="35"/>
      <c r="I137" s="36"/>
    </row>
    <row r="138" customFormat="false" ht="15" hidden="false" customHeight="false" outlineLevel="0" collapsed="false">
      <c r="A138" s="35"/>
      <c r="B138" s="36"/>
      <c r="C138" s="11" t="str">
        <f aca="false">IF(B138="","",IFERROR(INDEX(Leads!$C:$C,MATCH(B138,Leads!$A:$A,0)),"ID not found"))</f>
        <v/>
      </c>
      <c r="D138" s="11" t="str">
        <f aca="false">IF(B138="","",IFERROR(INDEX(Leads!$B:$B,MATCH(B138,Leads!$A:$A,0)),""))</f>
        <v/>
      </c>
      <c r="E138" s="36"/>
      <c r="F138" s="36"/>
      <c r="G138" s="36"/>
      <c r="H138" s="35"/>
      <c r="I138" s="36"/>
    </row>
    <row r="139" customFormat="false" ht="15" hidden="false" customHeight="false" outlineLevel="0" collapsed="false">
      <c r="A139" s="35"/>
      <c r="B139" s="36"/>
      <c r="C139" s="11" t="str">
        <f aca="false">IF(B139="","",IFERROR(INDEX(Leads!$C:$C,MATCH(B139,Leads!$A:$A,0)),"ID not found"))</f>
        <v/>
      </c>
      <c r="D139" s="11" t="str">
        <f aca="false">IF(B139="","",IFERROR(INDEX(Leads!$B:$B,MATCH(B139,Leads!$A:$A,0)),""))</f>
        <v/>
      </c>
      <c r="E139" s="36"/>
      <c r="F139" s="36"/>
      <c r="G139" s="36"/>
      <c r="H139" s="35"/>
      <c r="I139" s="36"/>
    </row>
    <row r="140" customFormat="false" ht="15" hidden="false" customHeight="false" outlineLevel="0" collapsed="false">
      <c r="A140" s="35"/>
      <c r="B140" s="36"/>
      <c r="C140" s="11" t="str">
        <f aca="false">IF(B140="","",IFERROR(INDEX(Leads!$C:$C,MATCH(B140,Leads!$A:$A,0)),"ID not found"))</f>
        <v/>
      </c>
      <c r="D140" s="11" t="str">
        <f aca="false">IF(B140="","",IFERROR(INDEX(Leads!$B:$B,MATCH(B140,Leads!$A:$A,0)),""))</f>
        <v/>
      </c>
      <c r="E140" s="36"/>
      <c r="F140" s="36"/>
      <c r="G140" s="36"/>
      <c r="H140" s="35"/>
      <c r="I140" s="36"/>
    </row>
    <row r="141" customFormat="false" ht="15" hidden="false" customHeight="false" outlineLevel="0" collapsed="false">
      <c r="A141" s="35"/>
      <c r="B141" s="36"/>
      <c r="C141" s="11" t="str">
        <f aca="false">IF(B141="","",IFERROR(INDEX(Leads!$C:$C,MATCH(B141,Leads!$A:$A,0)),"ID not found"))</f>
        <v/>
      </c>
      <c r="D141" s="11" t="str">
        <f aca="false">IF(B141="","",IFERROR(INDEX(Leads!$B:$B,MATCH(B141,Leads!$A:$A,0)),""))</f>
        <v/>
      </c>
      <c r="E141" s="36"/>
      <c r="F141" s="36"/>
      <c r="G141" s="36"/>
      <c r="H141" s="35"/>
      <c r="I141" s="36"/>
    </row>
    <row r="142" customFormat="false" ht="15" hidden="false" customHeight="false" outlineLevel="0" collapsed="false">
      <c r="A142" s="35"/>
      <c r="B142" s="36"/>
      <c r="C142" s="11" t="str">
        <f aca="false">IF(B142="","",IFERROR(INDEX(Leads!$C:$C,MATCH(B142,Leads!$A:$A,0)),"ID not found"))</f>
        <v/>
      </c>
      <c r="D142" s="11" t="str">
        <f aca="false">IF(B142="","",IFERROR(INDEX(Leads!$B:$B,MATCH(B142,Leads!$A:$A,0)),""))</f>
        <v/>
      </c>
      <c r="E142" s="36"/>
      <c r="F142" s="36"/>
      <c r="G142" s="36"/>
      <c r="H142" s="35"/>
      <c r="I142" s="36"/>
    </row>
    <row r="143" customFormat="false" ht="15" hidden="false" customHeight="false" outlineLevel="0" collapsed="false">
      <c r="A143" s="35"/>
      <c r="B143" s="36"/>
      <c r="C143" s="11" t="str">
        <f aca="false">IF(B143="","",IFERROR(INDEX(Leads!$C:$C,MATCH(B143,Leads!$A:$A,0)),"ID not found"))</f>
        <v/>
      </c>
      <c r="D143" s="11" t="str">
        <f aca="false">IF(B143="","",IFERROR(INDEX(Leads!$B:$B,MATCH(B143,Leads!$A:$A,0)),""))</f>
        <v/>
      </c>
      <c r="E143" s="36"/>
      <c r="F143" s="36"/>
      <c r="G143" s="36"/>
      <c r="H143" s="35"/>
      <c r="I143" s="36"/>
    </row>
    <row r="144" customFormat="false" ht="15" hidden="false" customHeight="false" outlineLevel="0" collapsed="false">
      <c r="A144" s="35"/>
      <c r="B144" s="36"/>
      <c r="C144" s="11" t="str">
        <f aca="false">IF(B144="","",IFERROR(INDEX(Leads!$C:$C,MATCH(B144,Leads!$A:$A,0)),"ID not found"))</f>
        <v/>
      </c>
      <c r="D144" s="11" t="str">
        <f aca="false">IF(B144="","",IFERROR(INDEX(Leads!$B:$B,MATCH(B144,Leads!$A:$A,0)),""))</f>
        <v/>
      </c>
      <c r="E144" s="36"/>
      <c r="F144" s="36"/>
      <c r="G144" s="36"/>
      <c r="H144" s="35"/>
      <c r="I144" s="36"/>
    </row>
    <row r="145" customFormat="false" ht="15" hidden="false" customHeight="false" outlineLevel="0" collapsed="false">
      <c r="A145" s="35"/>
      <c r="B145" s="36"/>
      <c r="C145" s="11" t="str">
        <f aca="false">IF(B145="","",IFERROR(INDEX(Leads!$C:$C,MATCH(B145,Leads!$A:$A,0)),"ID not found"))</f>
        <v/>
      </c>
      <c r="D145" s="11" t="str">
        <f aca="false">IF(B145="","",IFERROR(INDEX(Leads!$B:$B,MATCH(B145,Leads!$A:$A,0)),""))</f>
        <v/>
      </c>
      <c r="E145" s="36"/>
      <c r="F145" s="36"/>
      <c r="G145" s="36"/>
      <c r="H145" s="35"/>
      <c r="I145" s="36"/>
    </row>
    <row r="146" customFormat="false" ht="15" hidden="false" customHeight="false" outlineLevel="0" collapsed="false">
      <c r="A146" s="35"/>
      <c r="B146" s="36"/>
      <c r="C146" s="11" t="str">
        <f aca="false">IF(B146="","",IFERROR(INDEX(Leads!$C:$C,MATCH(B146,Leads!$A:$A,0)),"ID not found"))</f>
        <v/>
      </c>
      <c r="D146" s="11" t="str">
        <f aca="false">IF(B146="","",IFERROR(INDEX(Leads!$B:$B,MATCH(B146,Leads!$A:$A,0)),""))</f>
        <v/>
      </c>
      <c r="E146" s="36"/>
      <c r="F146" s="36"/>
      <c r="G146" s="36"/>
      <c r="H146" s="35"/>
      <c r="I146" s="36"/>
    </row>
    <row r="147" customFormat="false" ht="15" hidden="false" customHeight="false" outlineLevel="0" collapsed="false">
      <c r="A147" s="35"/>
      <c r="B147" s="36"/>
      <c r="C147" s="11" t="str">
        <f aca="false">IF(B147="","",IFERROR(INDEX(Leads!$C:$C,MATCH(B147,Leads!$A:$A,0)),"ID not found"))</f>
        <v/>
      </c>
      <c r="D147" s="11" t="str">
        <f aca="false">IF(B147="","",IFERROR(INDEX(Leads!$B:$B,MATCH(B147,Leads!$A:$A,0)),""))</f>
        <v/>
      </c>
      <c r="E147" s="36"/>
      <c r="F147" s="36"/>
      <c r="G147" s="36"/>
      <c r="H147" s="35"/>
      <c r="I147" s="36"/>
    </row>
    <row r="148" customFormat="false" ht="15" hidden="false" customHeight="false" outlineLevel="0" collapsed="false">
      <c r="A148" s="35"/>
      <c r="B148" s="36"/>
      <c r="C148" s="11" t="str">
        <f aca="false">IF(B148="","",IFERROR(INDEX(Leads!$C:$C,MATCH(B148,Leads!$A:$A,0)),"ID not found"))</f>
        <v/>
      </c>
      <c r="D148" s="11" t="str">
        <f aca="false">IF(B148="","",IFERROR(INDEX(Leads!$B:$B,MATCH(B148,Leads!$A:$A,0)),""))</f>
        <v/>
      </c>
      <c r="E148" s="36"/>
      <c r="F148" s="36"/>
      <c r="G148" s="36"/>
      <c r="H148" s="35"/>
      <c r="I148" s="36"/>
    </row>
    <row r="149" customFormat="false" ht="15" hidden="false" customHeight="false" outlineLevel="0" collapsed="false">
      <c r="A149" s="35"/>
      <c r="B149" s="36"/>
      <c r="C149" s="11" t="str">
        <f aca="false">IF(B149="","",IFERROR(INDEX(Leads!$C:$C,MATCH(B149,Leads!$A:$A,0)),"ID not found"))</f>
        <v/>
      </c>
      <c r="D149" s="11" t="str">
        <f aca="false">IF(B149="","",IFERROR(INDEX(Leads!$B:$B,MATCH(B149,Leads!$A:$A,0)),""))</f>
        <v/>
      </c>
      <c r="E149" s="36"/>
      <c r="F149" s="36"/>
      <c r="G149" s="36"/>
      <c r="H149" s="35"/>
      <c r="I149" s="36"/>
    </row>
    <row r="150" customFormat="false" ht="15" hidden="false" customHeight="false" outlineLevel="0" collapsed="false">
      <c r="A150" s="35"/>
      <c r="B150" s="36"/>
      <c r="C150" s="11" t="str">
        <f aca="false">IF(B150="","",IFERROR(INDEX(Leads!$C:$C,MATCH(B150,Leads!$A:$A,0)),"ID not found"))</f>
        <v/>
      </c>
      <c r="D150" s="11" t="str">
        <f aca="false">IF(B150="","",IFERROR(INDEX(Leads!$B:$B,MATCH(B150,Leads!$A:$A,0)),""))</f>
        <v/>
      </c>
      <c r="E150" s="36"/>
      <c r="F150" s="36"/>
      <c r="G150" s="36"/>
      <c r="H150" s="35"/>
      <c r="I150" s="36"/>
    </row>
    <row r="151" customFormat="false" ht="15" hidden="false" customHeight="false" outlineLevel="0" collapsed="false">
      <c r="A151" s="35"/>
      <c r="B151" s="36"/>
      <c r="C151" s="11" t="str">
        <f aca="false">IF(B151="","",IFERROR(INDEX(Leads!$C:$C,MATCH(B151,Leads!$A:$A,0)),"ID not found"))</f>
        <v/>
      </c>
      <c r="D151" s="11" t="str">
        <f aca="false">IF(B151="","",IFERROR(INDEX(Leads!$B:$B,MATCH(B151,Leads!$A:$A,0)),""))</f>
        <v/>
      </c>
      <c r="E151" s="36"/>
      <c r="F151" s="36"/>
      <c r="G151" s="36"/>
      <c r="H151" s="35"/>
      <c r="I151" s="36"/>
    </row>
    <row r="152" customFormat="false" ht="15" hidden="false" customHeight="false" outlineLevel="0" collapsed="false">
      <c r="A152" s="35"/>
      <c r="B152" s="36"/>
      <c r="C152" s="11" t="str">
        <f aca="false">IF(B152="","",IFERROR(INDEX(Leads!$C:$C,MATCH(B152,Leads!$A:$A,0)),"ID not found"))</f>
        <v/>
      </c>
      <c r="D152" s="11" t="str">
        <f aca="false">IF(B152="","",IFERROR(INDEX(Leads!$B:$B,MATCH(B152,Leads!$A:$A,0)),""))</f>
        <v/>
      </c>
      <c r="E152" s="36"/>
      <c r="F152" s="36"/>
      <c r="G152" s="36"/>
      <c r="H152" s="35"/>
      <c r="I152" s="36"/>
    </row>
    <row r="153" customFormat="false" ht="15" hidden="false" customHeight="false" outlineLevel="0" collapsed="false">
      <c r="A153" s="35"/>
      <c r="B153" s="36"/>
      <c r="C153" s="11" t="str">
        <f aca="false">IF(B153="","",IFERROR(INDEX(Leads!$C:$C,MATCH(B153,Leads!$A:$A,0)),"ID not found"))</f>
        <v/>
      </c>
      <c r="D153" s="11" t="str">
        <f aca="false">IF(B153="","",IFERROR(INDEX(Leads!$B:$B,MATCH(B153,Leads!$A:$A,0)),""))</f>
        <v/>
      </c>
      <c r="E153" s="36"/>
      <c r="F153" s="36"/>
      <c r="G153" s="36"/>
      <c r="H153" s="35"/>
      <c r="I153" s="36"/>
    </row>
    <row r="154" customFormat="false" ht="15" hidden="false" customHeight="false" outlineLevel="0" collapsed="false">
      <c r="A154" s="35"/>
      <c r="B154" s="36"/>
      <c r="C154" s="11" t="str">
        <f aca="false">IF(B154="","",IFERROR(INDEX(Leads!$C:$C,MATCH(B154,Leads!$A:$A,0)),"ID not found"))</f>
        <v/>
      </c>
      <c r="D154" s="11" t="str">
        <f aca="false">IF(B154="","",IFERROR(INDEX(Leads!$B:$B,MATCH(B154,Leads!$A:$A,0)),""))</f>
        <v/>
      </c>
      <c r="E154" s="36"/>
      <c r="F154" s="36"/>
      <c r="G154" s="36"/>
      <c r="H154" s="35"/>
      <c r="I154" s="36"/>
    </row>
    <row r="155" customFormat="false" ht="15" hidden="false" customHeight="false" outlineLevel="0" collapsed="false">
      <c r="A155" s="35"/>
      <c r="B155" s="36"/>
      <c r="C155" s="11" t="str">
        <f aca="false">IF(B155="","",IFERROR(INDEX(Leads!$C:$C,MATCH(B155,Leads!$A:$A,0)),"ID not found"))</f>
        <v/>
      </c>
      <c r="D155" s="11" t="str">
        <f aca="false">IF(B155="","",IFERROR(INDEX(Leads!$B:$B,MATCH(B155,Leads!$A:$A,0)),""))</f>
        <v/>
      </c>
      <c r="E155" s="36"/>
      <c r="F155" s="36"/>
      <c r="G155" s="36"/>
      <c r="H155" s="35"/>
      <c r="I155" s="36"/>
    </row>
    <row r="156" customFormat="false" ht="15" hidden="false" customHeight="false" outlineLevel="0" collapsed="false">
      <c r="A156" s="35"/>
      <c r="B156" s="36"/>
      <c r="C156" s="11" t="str">
        <f aca="false">IF(B156="","",IFERROR(INDEX(Leads!$C:$C,MATCH(B156,Leads!$A:$A,0)),"ID not found"))</f>
        <v/>
      </c>
      <c r="D156" s="11" t="str">
        <f aca="false">IF(B156="","",IFERROR(INDEX(Leads!$B:$B,MATCH(B156,Leads!$A:$A,0)),""))</f>
        <v/>
      </c>
      <c r="E156" s="36"/>
      <c r="F156" s="36"/>
      <c r="G156" s="36"/>
      <c r="H156" s="35"/>
      <c r="I156" s="36"/>
    </row>
    <row r="157" customFormat="false" ht="15" hidden="false" customHeight="false" outlineLevel="0" collapsed="false">
      <c r="A157" s="35"/>
      <c r="B157" s="36"/>
      <c r="C157" s="11" t="str">
        <f aca="false">IF(B157="","",IFERROR(INDEX(Leads!$C:$C,MATCH(B157,Leads!$A:$A,0)),"ID not found"))</f>
        <v/>
      </c>
      <c r="D157" s="11" t="str">
        <f aca="false">IF(B157="","",IFERROR(INDEX(Leads!$B:$B,MATCH(B157,Leads!$A:$A,0)),""))</f>
        <v/>
      </c>
      <c r="E157" s="36"/>
      <c r="F157" s="36"/>
      <c r="G157" s="36"/>
      <c r="H157" s="35"/>
      <c r="I157" s="36"/>
    </row>
    <row r="158" customFormat="false" ht="15" hidden="false" customHeight="false" outlineLevel="0" collapsed="false">
      <c r="A158" s="35"/>
      <c r="B158" s="36"/>
      <c r="C158" s="11" t="str">
        <f aca="false">IF(B158="","",IFERROR(INDEX(Leads!$C:$C,MATCH(B158,Leads!$A:$A,0)),"ID not found"))</f>
        <v/>
      </c>
      <c r="D158" s="11" t="str">
        <f aca="false">IF(B158="","",IFERROR(INDEX(Leads!$B:$B,MATCH(B158,Leads!$A:$A,0)),""))</f>
        <v/>
      </c>
      <c r="E158" s="36"/>
      <c r="F158" s="36"/>
      <c r="G158" s="36"/>
      <c r="H158" s="35"/>
      <c r="I158" s="36"/>
    </row>
    <row r="159" customFormat="false" ht="15" hidden="false" customHeight="false" outlineLevel="0" collapsed="false">
      <c r="A159" s="35"/>
      <c r="B159" s="36"/>
      <c r="C159" s="11" t="str">
        <f aca="false">IF(B159="","",IFERROR(INDEX(Leads!$C:$C,MATCH(B159,Leads!$A:$A,0)),"ID not found"))</f>
        <v/>
      </c>
      <c r="D159" s="11" t="str">
        <f aca="false">IF(B159="","",IFERROR(INDEX(Leads!$B:$B,MATCH(B159,Leads!$A:$A,0)),""))</f>
        <v/>
      </c>
      <c r="E159" s="36"/>
      <c r="F159" s="36"/>
      <c r="G159" s="36"/>
      <c r="H159" s="35"/>
      <c r="I159" s="36"/>
    </row>
    <row r="160" customFormat="false" ht="15" hidden="false" customHeight="false" outlineLevel="0" collapsed="false">
      <c r="A160" s="35"/>
      <c r="B160" s="36"/>
      <c r="C160" s="11" t="str">
        <f aca="false">IF(B160="","",IFERROR(INDEX(Leads!$C:$C,MATCH(B160,Leads!$A:$A,0)),"ID not found"))</f>
        <v/>
      </c>
      <c r="D160" s="11" t="str">
        <f aca="false">IF(B160="","",IFERROR(INDEX(Leads!$B:$B,MATCH(B160,Leads!$A:$A,0)),""))</f>
        <v/>
      </c>
      <c r="E160" s="36"/>
      <c r="F160" s="36"/>
      <c r="G160" s="36"/>
      <c r="H160" s="35"/>
      <c r="I160" s="36"/>
    </row>
    <row r="161" customFormat="false" ht="15" hidden="false" customHeight="false" outlineLevel="0" collapsed="false">
      <c r="A161" s="35"/>
      <c r="B161" s="36"/>
      <c r="C161" s="11" t="str">
        <f aca="false">IF(B161="","",IFERROR(INDEX(Leads!$C:$C,MATCH(B161,Leads!$A:$A,0)),"ID not found"))</f>
        <v/>
      </c>
      <c r="D161" s="11" t="str">
        <f aca="false">IF(B161="","",IFERROR(INDEX(Leads!$B:$B,MATCH(B161,Leads!$A:$A,0)),""))</f>
        <v/>
      </c>
      <c r="E161" s="36"/>
      <c r="F161" s="36"/>
      <c r="G161" s="36"/>
      <c r="H161" s="35"/>
      <c r="I161" s="36"/>
    </row>
    <row r="162" customFormat="false" ht="15" hidden="false" customHeight="false" outlineLevel="0" collapsed="false">
      <c r="A162" s="35"/>
      <c r="B162" s="36"/>
      <c r="C162" s="11" t="str">
        <f aca="false">IF(B162="","",IFERROR(INDEX(Leads!$C:$C,MATCH(B162,Leads!$A:$A,0)),"ID not found"))</f>
        <v/>
      </c>
      <c r="D162" s="11" t="str">
        <f aca="false">IF(B162="","",IFERROR(INDEX(Leads!$B:$B,MATCH(B162,Leads!$A:$A,0)),""))</f>
        <v/>
      </c>
      <c r="E162" s="36"/>
      <c r="F162" s="36"/>
      <c r="G162" s="36"/>
      <c r="H162" s="35"/>
      <c r="I162" s="36"/>
    </row>
    <row r="163" customFormat="false" ht="15" hidden="false" customHeight="false" outlineLevel="0" collapsed="false">
      <c r="A163" s="35"/>
      <c r="B163" s="36"/>
      <c r="C163" s="11" t="str">
        <f aca="false">IF(B163="","",IFERROR(INDEX(Leads!$C:$C,MATCH(B163,Leads!$A:$A,0)),"ID not found"))</f>
        <v/>
      </c>
      <c r="D163" s="11" t="str">
        <f aca="false">IF(B163="","",IFERROR(INDEX(Leads!$B:$B,MATCH(B163,Leads!$A:$A,0)),""))</f>
        <v/>
      </c>
      <c r="E163" s="36"/>
      <c r="F163" s="36"/>
      <c r="G163" s="36"/>
      <c r="H163" s="35"/>
      <c r="I163" s="36"/>
    </row>
    <row r="164" customFormat="false" ht="15" hidden="false" customHeight="false" outlineLevel="0" collapsed="false">
      <c r="A164" s="35"/>
      <c r="B164" s="36"/>
      <c r="C164" s="11" t="str">
        <f aca="false">IF(B164="","",IFERROR(INDEX(Leads!$C:$C,MATCH(B164,Leads!$A:$A,0)),"ID not found"))</f>
        <v/>
      </c>
      <c r="D164" s="11" t="str">
        <f aca="false">IF(B164="","",IFERROR(INDEX(Leads!$B:$B,MATCH(B164,Leads!$A:$A,0)),""))</f>
        <v/>
      </c>
      <c r="E164" s="36"/>
      <c r="F164" s="36"/>
      <c r="G164" s="36"/>
      <c r="H164" s="35"/>
      <c r="I164" s="36"/>
    </row>
    <row r="165" customFormat="false" ht="15" hidden="false" customHeight="false" outlineLevel="0" collapsed="false">
      <c r="A165" s="35"/>
      <c r="B165" s="36"/>
      <c r="C165" s="11" t="str">
        <f aca="false">IF(B165="","",IFERROR(INDEX(Leads!$C:$C,MATCH(B165,Leads!$A:$A,0)),"ID not found"))</f>
        <v/>
      </c>
      <c r="D165" s="11" t="str">
        <f aca="false">IF(B165="","",IFERROR(INDEX(Leads!$B:$B,MATCH(B165,Leads!$A:$A,0)),""))</f>
        <v/>
      </c>
      <c r="E165" s="36"/>
      <c r="F165" s="36"/>
      <c r="G165" s="36"/>
      <c r="H165" s="35"/>
      <c r="I165" s="36"/>
    </row>
    <row r="166" customFormat="false" ht="15" hidden="false" customHeight="false" outlineLevel="0" collapsed="false">
      <c r="A166" s="35"/>
      <c r="B166" s="36"/>
      <c r="C166" s="11" t="str">
        <f aca="false">IF(B166="","",IFERROR(INDEX(Leads!$C:$C,MATCH(B166,Leads!$A:$A,0)),"ID not found"))</f>
        <v/>
      </c>
      <c r="D166" s="11" t="str">
        <f aca="false">IF(B166="","",IFERROR(INDEX(Leads!$B:$B,MATCH(B166,Leads!$A:$A,0)),""))</f>
        <v/>
      </c>
      <c r="E166" s="36"/>
      <c r="F166" s="36"/>
      <c r="G166" s="36"/>
      <c r="H166" s="35"/>
      <c r="I166" s="36"/>
    </row>
    <row r="167" customFormat="false" ht="15" hidden="false" customHeight="false" outlineLevel="0" collapsed="false">
      <c r="A167" s="35"/>
      <c r="B167" s="36"/>
      <c r="C167" s="11" t="str">
        <f aca="false">IF(B167="","",IFERROR(INDEX(Leads!$C:$C,MATCH(B167,Leads!$A:$A,0)),"ID not found"))</f>
        <v/>
      </c>
      <c r="D167" s="11" t="str">
        <f aca="false">IF(B167="","",IFERROR(INDEX(Leads!$B:$B,MATCH(B167,Leads!$A:$A,0)),""))</f>
        <v/>
      </c>
      <c r="E167" s="36"/>
      <c r="F167" s="36"/>
      <c r="G167" s="36"/>
      <c r="H167" s="35"/>
      <c r="I167" s="36"/>
    </row>
    <row r="168" customFormat="false" ht="15" hidden="false" customHeight="false" outlineLevel="0" collapsed="false">
      <c r="A168" s="35"/>
      <c r="B168" s="36"/>
      <c r="C168" s="11" t="str">
        <f aca="false">IF(B168="","",IFERROR(INDEX(Leads!$C:$C,MATCH(B168,Leads!$A:$A,0)),"ID not found"))</f>
        <v/>
      </c>
      <c r="D168" s="11" t="str">
        <f aca="false">IF(B168="","",IFERROR(INDEX(Leads!$B:$B,MATCH(B168,Leads!$A:$A,0)),""))</f>
        <v/>
      </c>
      <c r="E168" s="36"/>
      <c r="F168" s="36"/>
      <c r="G168" s="36"/>
      <c r="H168" s="35"/>
      <c r="I168" s="36"/>
    </row>
    <row r="169" customFormat="false" ht="15" hidden="false" customHeight="false" outlineLevel="0" collapsed="false">
      <c r="A169" s="35"/>
      <c r="B169" s="36"/>
      <c r="C169" s="11" t="str">
        <f aca="false">IF(B169="","",IFERROR(INDEX(Leads!$C:$C,MATCH(B169,Leads!$A:$A,0)),"ID not found"))</f>
        <v/>
      </c>
      <c r="D169" s="11" t="str">
        <f aca="false">IF(B169="","",IFERROR(INDEX(Leads!$B:$B,MATCH(B169,Leads!$A:$A,0)),""))</f>
        <v/>
      </c>
      <c r="E169" s="36"/>
      <c r="F169" s="36"/>
      <c r="G169" s="36"/>
      <c r="H169" s="35"/>
      <c r="I169" s="36"/>
    </row>
    <row r="170" customFormat="false" ht="15" hidden="false" customHeight="false" outlineLevel="0" collapsed="false">
      <c r="A170" s="35"/>
      <c r="B170" s="36"/>
      <c r="C170" s="11" t="str">
        <f aca="false">IF(B170="","",IFERROR(INDEX(Leads!$C:$C,MATCH(B170,Leads!$A:$A,0)),"ID not found"))</f>
        <v/>
      </c>
      <c r="D170" s="11" t="str">
        <f aca="false">IF(B170="","",IFERROR(INDEX(Leads!$B:$B,MATCH(B170,Leads!$A:$A,0)),""))</f>
        <v/>
      </c>
      <c r="E170" s="36"/>
      <c r="F170" s="36"/>
      <c r="G170" s="36"/>
      <c r="H170" s="35"/>
      <c r="I170" s="36"/>
    </row>
    <row r="171" customFormat="false" ht="15" hidden="false" customHeight="false" outlineLevel="0" collapsed="false">
      <c r="A171" s="35"/>
      <c r="B171" s="36"/>
      <c r="C171" s="11" t="str">
        <f aca="false">IF(B171="","",IFERROR(INDEX(Leads!$C:$C,MATCH(B171,Leads!$A:$A,0)),"ID not found"))</f>
        <v/>
      </c>
      <c r="D171" s="11" t="str">
        <f aca="false">IF(B171="","",IFERROR(INDEX(Leads!$B:$B,MATCH(B171,Leads!$A:$A,0)),""))</f>
        <v/>
      </c>
      <c r="E171" s="36"/>
      <c r="F171" s="36"/>
      <c r="G171" s="36"/>
      <c r="H171" s="35"/>
      <c r="I171" s="36"/>
    </row>
    <row r="172" customFormat="false" ht="15" hidden="false" customHeight="false" outlineLevel="0" collapsed="false">
      <c r="A172" s="35"/>
      <c r="B172" s="36"/>
      <c r="C172" s="11" t="str">
        <f aca="false">IF(B172="","",IFERROR(INDEX(Leads!$C:$C,MATCH(B172,Leads!$A:$A,0)),"ID not found"))</f>
        <v/>
      </c>
      <c r="D172" s="11" t="str">
        <f aca="false">IF(B172="","",IFERROR(INDEX(Leads!$B:$B,MATCH(B172,Leads!$A:$A,0)),""))</f>
        <v/>
      </c>
      <c r="E172" s="36"/>
      <c r="F172" s="36"/>
      <c r="G172" s="36"/>
      <c r="H172" s="35"/>
      <c r="I172" s="36"/>
    </row>
    <row r="173" customFormat="false" ht="15" hidden="false" customHeight="false" outlineLevel="0" collapsed="false">
      <c r="A173" s="35"/>
      <c r="B173" s="36"/>
      <c r="C173" s="11" t="str">
        <f aca="false">IF(B173="","",IFERROR(INDEX(Leads!$C:$C,MATCH(B173,Leads!$A:$A,0)),"ID not found"))</f>
        <v/>
      </c>
      <c r="D173" s="11" t="str">
        <f aca="false">IF(B173="","",IFERROR(INDEX(Leads!$B:$B,MATCH(B173,Leads!$A:$A,0)),""))</f>
        <v/>
      </c>
      <c r="E173" s="36"/>
      <c r="F173" s="36"/>
      <c r="G173" s="36"/>
      <c r="H173" s="35"/>
      <c r="I173" s="36"/>
    </row>
    <row r="174" customFormat="false" ht="15" hidden="false" customHeight="false" outlineLevel="0" collapsed="false">
      <c r="A174" s="35"/>
      <c r="B174" s="36"/>
      <c r="C174" s="11" t="str">
        <f aca="false">IF(B174="","",IFERROR(INDEX(Leads!$C:$C,MATCH(B174,Leads!$A:$A,0)),"ID not found"))</f>
        <v/>
      </c>
      <c r="D174" s="11" t="str">
        <f aca="false">IF(B174="","",IFERROR(INDEX(Leads!$B:$B,MATCH(B174,Leads!$A:$A,0)),""))</f>
        <v/>
      </c>
      <c r="E174" s="36"/>
      <c r="F174" s="36"/>
      <c r="G174" s="36"/>
      <c r="H174" s="35"/>
      <c r="I174" s="36"/>
    </row>
    <row r="175" customFormat="false" ht="15" hidden="false" customHeight="false" outlineLevel="0" collapsed="false">
      <c r="A175" s="35"/>
      <c r="B175" s="36"/>
      <c r="C175" s="11" t="str">
        <f aca="false">IF(B175="","",IFERROR(INDEX(Leads!$C:$C,MATCH(B175,Leads!$A:$A,0)),"ID not found"))</f>
        <v/>
      </c>
      <c r="D175" s="11" t="str">
        <f aca="false">IF(B175="","",IFERROR(INDEX(Leads!$B:$B,MATCH(B175,Leads!$A:$A,0)),""))</f>
        <v/>
      </c>
      <c r="E175" s="36"/>
      <c r="F175" s="36"/>
      <c r="G175" s="36"/>
      <c r="H175" s="35"/>
      <c r="I175" s="36"/>
    </row>
    <row r="176" customFormat="false" ht="15" hidden="false" customHeight="false" outlineLevel="0" collapsed="false">
      <c r="A176" s="35"/>
      <c r="B176" s="36"/>
      <c r="C176" s="11" t="str">
        <f aca="false">IF(B176="","",IFERROR(INDEX(Leads!$C:$C,MATCH(B176,Leads!$A:$A,0)),"ID not found"))</f>
        <v/>
      </c>
      <c r="D176" s="11" t="str">
        <f aca="false">IF(B176="","",IFERROR(INDEX(Leads!$B:$B,MATCH(B176,Leads!$A:$A,0)),""))</f>
        <v/>
      </c>
      <c r="E176" s="36"/>
      <c r="F176" s="36"/>
      <c r="G176" s="36"/>
      <c r="H176" s="35"/>
      <c r="I176" s="36"/>
    </row>
    <row r="177" customFormat="false" ht="15" hidden="false" customHeight="false" outlineLevel="0" collapsed="false">
      <c r="A177" s="35"/>
      <c r="B177" s="36"/>
      <c r="C177" s="11" t="str">
        <f aca="false">IF(B177="","",IFERROR(INDEX(Leads!$C:$C,MATCH(B177,Leads!$A:$A,0)),"ID not found"))</f>
        <v/>
      </c>
      <c r="D177" s="11" t="str">
        <f aca="false">IF(B177="","",IFERROR(INDEX(Leads!$B:$B,MATCH(B177,Leads!$A:$A,0)),""))</f>
        <v/>
      </c>
      <c r="E177" s="36"/>
      <c r="F177" s="36"/>
      <c r="G177" s="36"/>
      <c r="H177" s="35"/>
      <c r="I177" s="36"/>
    </row>
    <row r="178" customFormat="false" ht="15" hidden="false" customHeight="false" outlineLevel="0" collapsed="false">
      <c r="A178" s="35"/>
      <c r="B178" s="36"/>
      <c r="C178" s="11" t="str">
        <f aca="false">IF(B178="","",IFERROR(INDEX(Leads!$C:$C,MATCH(B178,Leads!$A:$A,0)),"ID not found"))</f>
        <v/>
      </c>
      <c r="D178" s="11" t="str">
        <f aca="false">IF(B178="","",IFERROR(INDEX(Leads!$B:$B,MATCH(B178,Leads!$A:$A,0)),""))</f>
        <v/>
      </c>
      <c r="E178" s="36"/>
      <c r="F178" s="36"/>
      <c r="G178" s="36"/>
      <c r="H178" s="35"/>
      <c r="I178" s="36"/>
    </row>
    <row r="179" customFormat="false" ht="15" hidden="false" customHeight="false" outlineLevel="0" collapsed="false">
      <c r="A179" s="35"/>
      <c r="B179" s="36"/>
      <c r="C179" s="11" t="str">
        <f aca="false">IF(B179="","",IFERROR(INDEX(Leads!$C:$C,MATCH(B179,Leads!$A:$A,0)),"ID not found"))</f>
        <v/>
      </c>
      <c r="D179" s="11" t="str">
        <f aca="false">IF(B179="","",IFERROR(INDEX(Leads!$B:$B,MATCH(B179,Leads!$A:$A,0)),""))</f>
        <v/>
      </c>
      <c r="E179" s="36"/>
      <c r="F179" s="36"/>
      <c r="G179" s="36"/>
      <c r="H179" s="35"/>
      <c r="I179" s="36"/>
    </row>
    <row r="180" customFormat="false" ht="15" hidden="false" customHeight="false" outlineLevel="0" collapsed="false">
      <c r="A180" s="35"/>
      <c r="B180" s="36"/>
      <c r="C180" s="11" t="str">
        <f aca="false">IF(B180="","",IFERROR(INDEX(Leads!$C:$C,MATCH(B180,Leads!$A:$A,0)),"ID not found"))</f>
        <v/>
      </c>
      <c r="D180" s="11" t="str">
        <f aca="false">IF(B180="","",IFERROR(INDEX(Leads!$B:$B,MATCH(B180,Leads!$A:$A,0)),""))</f>
        <v/>
      </c>
      <c r="E180" s="36"/>
      <c r="F180" s="36"/>
      <c r="G180" s="36"/>
      <c r="H180" s="35"/>
      <c r="I180" s="36"/>
    </row>
    <row r="181" customFormat="false" ht="15" hidden="false" customHeight="false" outlineLevel="0" collapsed="false">
      <c r="A181" s="35"/>
      <c r="B181" s="36"/>
      <c r="C181" s="11" t="str">
        <f aca="false">IF(B181="","",IFERROR(INDEX(Leads!$C:$C,MATCH(B181,Leads!$A:$A,0)),"ID not found"))</f>
        <v/>
      </c>
      <c r="D181" s="11" t="str">
        <f aca="false">IF(B181="","",IFERROR(INDEX(Leads!$B:$B,MATCH(B181,Leads!$A:$A,0)),""))</f>
        <v/>
      </c>
      <c r="E181" s="36"/>
      <c r="F181" s="36"/>
      <c r="G181" s="36"/>
      <c r="H181" s="35"/>
      <c r="I181" s="36"/>
    </row>
    <row r="182" customFormat="false" ht="15" hidden="false" customHeight="false" outlineLevel="0" collapsed="false">
      <c r="A182" s="35"/>
      <c r="B182" s="36"/>
      <c r="C182" s="11" t="str">
        <f aca="false">IF(B182="","",IFERROR(INDEX(Leads!$C:$C,MATCH(B182,Leads!$A:$A,0)),"ID not found"))</f>
        <v/>
      </c>
      <c r="D182" s="11" t="str">
        <f aca="false">IF(B182="","",IFERROR(INDEX(Leads!$B:$B,MATCH(B182,Leads!$A:$A,0)),""))</f>
        <v/>
      </c>
      <c r="E182" s="36"/>
      <c r="F182" s="36"/>
      <c r="G182" s="36"/>
      <c r="H182" s="35"/>
      <c r="I182" s="36"/>
    </row>
    <row r="183" customFormat="false" ht="15" hidden="false" customHeight="false" outlineLevel="0" collapsed="false">
      <c r="A183" s="35"/>
      <c r="B183" s="36"/>
      <c r="C183" s="11" t="str">
        <f aca="false">IF(B183="","",IFERROR(INDEX(Leads!$C:$C,MATCH(B183,Leads!$A:$A,0)),"ID not found"))</f>
        <v/>
      </c>
      <c r="D183" s="11" t="str">
        <f aca="false">IF(B183="","",IFERROR(INDEX(Leads!$B:$B,MATCH(B183,Leads!$A:$A,0)),""))</f>
        <v/>
      </c>
      <c r="E183" s="36"/>
      <c r="F183" s="36"/>
      <c r="G183" s="36"/>
      <c r="H183" s="35"/>
      <c r="I183" s="36"/>
    </row>
    <row r="184" customFormat="false" ht="15" hidden="false" customHeight="false" outlineLevel="0" collapsed="false">
      <c r="A184" s="35"/>
      <c r="B184" s="36"/>
      <c r="C184" s="11" t="str">
        <f aca="false">IF(B184="","",IFERROR(INDEX(Leads!$C:$C,MATCH(B184,Leads!$A:$A,0)),"ID not found"))</f>
        <v/>
      </c>
      <c r="D184" s="11" t="str">
        <f aca="false">IF(B184="","",IFERROR(INDEX(Leads!$B:$B,MATCH(B184,Leads!$A:$A,0)),""))</f>
        <v/>
      </c>
      <c r="E184" s="36"/>
      <c r="F184" s="36"/>
      <c r="G184" s="36"/>
      <c r="H184" s="35"/>
      <c r="I184" s="36"/>
    </row>
    <row r="185" customFormat="false" ht="15" hidden="false" customHeight="false" outlineLevel="0" collapsed="false">
      <c r="A185" s="35"/>
      <c r="B185" s="36"/>
      <c r="C185" s="11" t="str">
        <f aca="false">IF(B185="","",IFERROR(INDEX(Leads!$C:$C,MATCH(B185,Leads!$A:$A,0)),"ID not found"))</f>
        <v/>
      </c>
      <c r="D185" s="11" t="str">
        <f aca="false">IF(B185="","",IFERROR(INDEX(Leads!$B:$B,MATCH(B185,Leads!$A:$A,0)),""))</f>
        <v/>
      </c>
      <c r="E185" s="36"/>
      <c r="F185" s="36"/>
      <c r="G185" s="36"/>
      <c r="H185" s="35"/>
      <c r="I185" s="36"/>
    </row>
    <row r="186" customFormat="false" ht="15" hidden="false" customHeight="false" outlineLevel="0" collapsed="false">
      <c r="A186" s="35"/>
      <c r="B186" s="36"/>
      <c r="C186" s="11" t="str">
        <f aca="false">IF(B186="","",IFERROR(INDEX(Leads!$C:$C,MATCH(B186,Leads!$A:$A,0)),"ID not found"))</f>
        <v/>
      </c>
      <c r="D186" s="11" t="str">
        <f aca="false">IF(B186="","",IFERROR(INDEX(Leads!$B:$B,MATCH(B186,Leads!$A:$A,0)),""))</f>
        <v/>
      </c>
      <c r="E186" s="36"/>
      <c r="F186" s="36"/>
      <c r="G186" s="36"/>
      <c r="H186" s="35"/>
      <c r="I186" s="36"/>
    </row>
    <row r="187" customFormat="false" ht="15" hidden="false" customHeight="false" outlineLevel="0" collapsed="false">
      <c r="A187" s="35"/>
      <c r="B187" s="36"/>
      <c r="C187" s="11" t="str">
        <f aca="false">IF(B187="","",IFERROR(INDEX(Leads!$C:$C,MATCH(B187,Leads!$A:$A,0)),"ID not found"))</f>
        <v/>
      </c>
      <c r="D187" s="11" t="str">
        <f aca="false">IF(B187="","",IFERROR(INDEX(Leads!$B:$B,MATCH(B187,Leads!$A:$A,0)),""))</f>
        <v/>
      </c>
      <c r="E187" s="36"/>
      <c r="F187" s="36"/>
      <c r="G187" s="36"/>
      <c r="H187" s="35"/>
      <c r="I187" s="36"/>
    </row>
    <row r="188" customFormat="false" ht="15" hidden="false" customHeight="false" outlineLevel="0" collapsed="false">
      <c r="A188" s="35"/>
      <c r="B188" s="36"/>
      <c r="C188" s="11" t="str">
        <f aca="false">IF(B188="","",IFERROR(INDEX(Leads!$C:$C,MATCH(B188,Leads!$A:$A,0)),"ID not found"))</f>
        <v/>
      </c>
      <c r="D188" s="11" t="str">
        <f aca="false">IF(B188="","",IFERROR(INDEX(Leads!$B:$B,MATCH(B188,Leads!$A:$A,0)),""))</f>
        <v/>
      </c>
      <c r="E188" s="36"/>
      <c r="F188" s="36"/>
      <c r="G188" s="36"/>
      <c r="H188" s="35"/>
      <c r="I188" s="36"/>
    </row>
    <row r="189" customFormat="false" ht="15" hidden="false" customHeight="false" outlineLevel="0" collapsed="false">
      <c r="A189" s="35"/>
      <c r="B189" s="36"/>
      <c r="C189" s="11" t="str">
        <f aca="false">IF(B189="","",IFERROR(INDEX(Leads!$C:$C,MATCH(B189,Leads!$A:$A,0)),"ID not found"))</f>
        <v/>
      </c>
      <c r="D189" s="11" t="str">
        <f aca="false">IF(B189="","",IFERROR(INDEX(Leads!$B:$B,MATCH(B189,Leads!$A:$A,0)),""))</f>
        <v/>
      </c>
      <c r="E189" s="36"/>
      <c r="F189" s="36"/>
      <c r="G189" s="36"/>
      <c r="H189" s="35"/>
      <c r="I189" s="36"/>
    </row>
    <row r="190" customFormat="false" ht="15" hidden="false" customHeight="false" outlineLevel="0" collapsed="false">
      <c r="A190" s="35"/>
      <c r="B190" s="36"/>
      <c r="C190" s="11" t="str">
        <f aca="false">IF(B190="","",IFERROR(INDEX(Leads!$C:$C,MATCH(B190,Leads!$A:$A,0)),"ID not found"))</f>
        <v/>
      </c>
      <c r="D190" s="11" t="str">
        <f aca="false">IF(B190="","",IFERROR(INDEX(Leads!$B:$B,MATCH(B190,Leads!$A:$A,0)),""))</f>
        <v/>
      </c>
      <c r="E190" s="36"/>
      <c r="F190" s="36"/>
      <c r="G190" s="36"/>
      <c r="H190" s="35"/>
      <c r="I190" s="36"/>
    </row>
    <row r="191" customFormat="false" ht="15" hidden="false" customHeight="false" outlineLevel="0" collapsed="false">
      <c r="A191" s="35"/>
      <c r="B191" s="36"/>
      <c r="C191" s="11" t="str">
        <f aca="false">IF(B191="","",IFERROR(INDEX(Leads!$C:$C,MATCH(B191,Leads!$A:$A,0)),"ID not found"))</f>
        <v/>
      </c>
      <c r="D191" s="11" t="str">
        <f aca="false">IF(B191="","",IFERROR(INDEX(Leads!$B:$B,MATCH(B191,Leads!$A:$A,0)),""))</f>
        <v/>
      </c>
      <c r="E191" s="36"/>
      <c r="F191" s="36"/>
      <c r="G191" s="36"/>
      <c r="H191" s="35"/>
      <c r="I191" s="36"/>
    </row>
    <row r="192" customFormat="false" ht="15" hidden="false" customHeight="false" outlineLevel="0" collapsed="false">
      <c r="A192" s="35"/>
      <c r="B192" s="36"/>
      <c r="C192" s="11" t="str">
        <f aca="false">IF(B192="","",IFERROR(INDEX(Leads!$C:$C,MATCH(B192,Leads!$A:$A,0)),"ID not found"))</f>
        <v/>
      </c>
      <c r="D192" s="11" t="str">
        <f aca="false">IF(B192="","",IFERROR(INDEX(Leads!$B:$B,MATCH(B192,Leads!$A:$A,0)),""))</f>
        <v/>
      </c>
      <c r="E192" s="36"/>
      <c r="F192" s="36"/>
      <c r="G192" s="36"/>
      <c r="H192" s="35"/>
      <c r="I192" s="36"/>
    </row>
    <row r="193" customFormat="false" ht="15" hidden="false" customHeight="false" outlineLevel="0" collapsed="false">
      <c r="A193" s="35"/>
      <c r="B193" s="36"/>
      <c r="C193" s="11" t="str">
        <f aca="false">IF(B193="","",IFERROR(INDEX(Leads!$C:$C,MATCH(B193,Leads!$A:$A,0)),"ID not found"))</f>
        <v/>
      </c>
      <c r="D193" s="11" t="str">
        <f aca="false">IF(B193="","",IFERROR(INDEX(Leads!$B:$B,MATCH(B193,Leads!$A:$A,0)),""))</f>
        <v/>
      </c>
      <c r="E193" s="36"/>
      <c r="F193" s="36"/>
      <c r="G193" s="36"/>
      <c r="H193" s="35"/>
      <c r="I193" s="36"/>
    </row>
    <row r="194" customFormat="false" ht="15" hidden="false" customHeight="false" outlineLevel="0" collapsed="false">
      <c r="A194" s="35"/>
      <c r="B194" s="36"/>
      <c r="C194" s="11" t="str">
        <f aca="false">IF(B194="","",IFERROR(INDEX(Leads!$C:$C,MATCH(B194,Leads!$A:$A,0)),"ID not found"))</f>
        <v/>
      </c>
      <c r="D194" s="11" t="str">
        <f aca="false">IF(B194="","",IFERROR(INDEX(Leads!$B:$B,MATCH(B194,Leads!$A:$A,0)),""))</f>
        <v/>
      </c>
      <c r="E194" s="36"/>
      <c r="F194" s="36"/>
      <c r="G194" s="36"/>
      <c r="H194" s="35"/>
      <c r="I194" s="36"/>
    </row>
    <row r="195" customFormat="false" ht="15" hidden="false" customHeight="false" outlineLevel="0" collapsed="false">
      <c r="A195" s="35"/>
      <c r="B195" s="36"/>
      <c r="C195" s="11" t="str">
        <f aca="false">IF(B195="","",IFERROR(INDEX(Leads!$C:$C,MATCH(B195,Leads!$A:$A,0)),"ID not found"))</f>
        <v/>
      </c>
      <c r="D195" s="11" t="str">
        <f aca="false">IF(B195="","",IFERROR(INDEX(Leads!$B:$B,MATCH(B195,Leads!$A:$A,0)),""))</f>
        <v/>
      </c>
      <c r="E195" s="36"/>
      <c r="F195" s="36"/>
      <c r="G195" s="36"/>
      <c r="H195" s="35"/>
      <c r="I195" s="36"/>
    </row>
    <row r="196" customFormat="false" ht="15" hidden="false" customHeight="false" outlineLevel="0" collapsed="false">
      <c r="A196" s="35"/>
      <c r="B196" s="36"/>
      <c r="C196" s="11" t="str">
        <f aca="false">IF(B196="","",IFERROR(INDEX(Leads!$C:$C,MATCH(B196,Leads!$A:$A,0)),"ID not found"))</f>
        <v/>
      </c>
      <c r="D196" s="11" t="str">
        <f aca="false">IF(B196="","",IFERROR(INDEX(Leads!$B:$B,MATCH(B196,Leads!$A:$A,0)),""))</f>
        <v/>
      </c>
      <c r="E196" s="36"/>
      <c r="F196" s="36"/>
      <c r="G196" s="36"/>
      <c r="H196" s="35"/>
      <c r="I196" s="36"/>
    </row>
    <row r="197" customFormat="false" ht="15" hidden="false" customHeight="false" outlineLevel="0" collapsed="false">
      <c r="A197" s="35"/>
      <c r="B197" s="36"/>
      <c r="C197" s="11" t="str">
        <f aca="false">IF(B197="","",IFERROR(INDEX(Leads!$C:$C,MATCH(B197,Leads!$A:$A,0)),"ID not found"))</f>
        <v/>
      </c>
      <c r="D197" s="11" t="str">
        <f aca="false">IF(B197="","",IFERROR(INDEX(Leads!$B:$B,MATCH(B197,Leads!$A:$A,0)),""))</f>
        <v/>
      </c>
      <c r="E197" s="36"/>
      <c r="F197" s="36"/>
      <c r="G197" s="36"/>
      <c r="H197" s="35"/>
      <c r="I197" s="36"/>
    </row>
    <row r="198" customFormat="false" ht="15" hidden="false" customHeight="false" outlineLevel="0" collapsed="false">
      <c r="A198" s="35"/>
      <c r="B198" s="36"/>
      <c r="C198" s="11" t="str">
        <f aca="false">IF(B198="","",IFERROR(INDEX(Leads!$C:$C,MATCH(B198,Leads!$A:$A,0)),"ID not found"))</f>
        <v/>
      </c>
      <c r="D198" s="11" t="str">
        <f aca="false">IF(B198="","",IFERROR(INDEX(Leads!$B:$B,MATCH(B198,Leads!$A:$A,0)),""))</f>
        <v/>
      </c>
      <c r="E198" s="36"/>
      <c r="F198" s="36"/>
      <c r="G198" s="36"/>
      <c r="H198" s="35"/>
      <c r="I198" s="36"/>
    </row>
    <row r="199" customFormat="false" ht="15" hidden="false" customHeight="false" outlineLevel="0" collapsed="false">
      <c r="A199" s="35"/>
      <c r="B199" s="36"/>
      <c r="C199" s="11" t="str">
        <f aca="false">IF(B199="","",IFERROR(INDEX(Leads!$C:$C,MATCH(B199,Leads!$A:$A,0)),"ID not found"))</f>
        <v/>
      </c>
      <c r="D199" s="11" t="str">
        <f aca="false">IF(B199="","",IFERROR(INDEX(Leads!$B:$B,MATCH(B199,Leads!$A:$A,0)),""))</f>
        <v/>
      </c>
      <c r="E199" s="36"/>
      <c r="F199" s="36"/>
      <c r="G199" s="36"/>
      <c r="H199" s="35"/>
      <c r="I199" s="36"/>
    </row>
    <row r="200" customFormat="false" ht="15" hidden="false" customHeight="false" outlineLevel="0" collapsed="false">
      <c r="A200" s="35"/>
      <c r="B200" s="36"/>
      <c r="C200" s="11" t="str">
        <f aca="false">IF(B200="","",IFERROR(INDEX(Leads!$C:$C,MATCH(B200,Leads!$A:$A,0)),"ID not found"))</f>
        <v/>
      </c>
      <c r="D200" s="11" t="str">
        <f aca="false">IF(B200="","",IFERROR(INDEX(Leads!$B:$B,MATCH(B200,Leads!$A:$A,0)),""))</f>
        <v/>
      </c>
      <c r="E200" s="36"/>
      <c r="F200" s="36"/>
      <c r="G200" s="36"/>
      <c r="H200" s="35"/>
      <c r="I200" s="36"/>
    </row>
    <row r="201" customFormat="false" ht="15" hidden="false" customHeight="false" outlineLevel="0" collapsed="false">
      <c r="A201" s="35"/>
      <c r="B201" s="36"/>
      <c r="C201" s="11" t="str">
        <f aca="false">IF(B201="","",IFERROR(INDEX(Leads!$C:$C,MATCH(B201,Leads!$A:$A,0)),"ID not found"))</f>
        <v/>
      </c>
      <c r="D201" s="11" t="str">
        <f aca="false">IF(B201="","",IFERROR(INDEX(Leads!$B:$B,MATCH(B201,Leads!$A:$A,0)),""))</f>
        <v/>
      </c>
      <c r="E201" s="36"/>
      <c r="F201" s="36"/>
      <c r="G201" s="36"/>
      <c r="H201" s="35"/>
      <c r="I201" s="36"/>
    </row>
    <row r="202" customFormat="false" ht="15" hidden="false" customHeight="false" outlineLevel="0" collapsed="false">
      <c r="A202" s="35"/>
      <c r="B202" s="36"/>
      <c r="C202" s="11" t="str">
        <f aca="false">IF(B202="","",IFERROR(INDEX(Leads!$C:$C,MATCH(B202,Leads!$A:$A,0)),"ID not found"))</f>
        <v/>
      </c>
      <c r="D202" s="11" t="str">
        <f aca="false">IF(B202="","",IFERROR(INDEX(Leads!$B:$B,MATCH(B202,Leads!$A:$A,0)),""))</f>
        <v/>
      </c>
      <c r="E202" s="36"/>
      <c r="F202" s="36"/>
      <c r="G202" s="36"/>
      <c r="H202" s="35"/>
      <c r="I202" s="36"/>
    </row>
    <row r="203" customFormat="false" ht="15" hidden="false" customHeight="false" outlineLevel="0" collapsed="false">
      <c r="A203" s="35"/>
      <c r="B203" s="36"/>
      <c r="C203" s="11" t="str">
        <f aca="false">IF(B203="","",IFERROR(INDEX(Leads!$C:$C,MATCH(B203,Leads!$A:$A,0)),"ID not found"))</f>
        <v/>
      </c>
      <c r="D203" s="11" t="str">
        <f aca="false">IF(B203="","",IFERROR(INDEX(Leads!$B:$B,MATCH(B203,Leads!$A:$A,0)),""))</f>
        <v/>
      </c>
      <c r="E203" s="36"/>
      <c r="F203" s="36"/>
      <c r="G203" s="36"/>
      <c r="H203" s="35"/>
      <c r="I203" s="36"/>
    </row>
    <row r="204" customFormat="false" ht="15" hidden="false" customHeight="false" outlineLevel="0" collapsed="false">
      <c r="A204" s="35"/>
      <c r="B204" s="36"/>
      <c r="C204" s="11" t="str">
        <f aca="false">IF(B204="","",IFERROR(INDEX(Leads!$C:$C,MATCH(B204,Leads!$A:$A,0)),"ID not found"))</f>
        <v/>
      </c>
      <c r="D204" s="11" t="str">
        <f aca="false">IF(B204="","",IFERROR(INDEX(Leads!$B:$B,MATCH(B204,Leads!$A:$A,0)),""))</f>
        <v/>
      </c>
      <c r="E204" s="36"/>
      <c r="F204" s="36"/>
      <c r="G204" s="36"/>
      <c r="H204" s="35"/>
      <c r="I204" s="36"/>
    </row>
    <row r="205" customFormat="false" ht="15" hidden="false" customHeight="false" outlineLevel="0" collapsed="false">
      <c r="A205" s="35"/>
      <c r="B205" s="36"/>
      <c r="C205" s="11" t="str">
        <f aca="false">IF(B205="","",IFERROR(INDEX(Leads!$C:$C,MATCH(B205,Leads!$A:$A,0)),"ID not found"))</f>
        <v/>
      </c>
      <c r="D205" s="11" t="str">
        <f aca="false">IF(B205="","",IFERROR(INDEX(Leads!$B:$B,MATCH(B205,Leads!$A:$A,0)),""))</f>
        <v/>
      </c>
      <c r="E205" s="36"/>
      <c r="F205" s="36"/>
      <c r="G205" s="36"/>
      <c r="H205" s="35"/>
      <c r="I205" s="36"/>
    </row>
    <row r="206" customFormat="false" ht="15" hidden="false" customHeight="false" outlineLevel="0" collapsed="false">
      <c r="A206" s="35"/>
      <c r="B206" s="36"/>
      <c r="C206" s="11" t="str">
        <f aca="false">IF(B206="","",IFERROR(INDEX(Leads!$C:$C,MATCH(B206,Leads!$A:$A,0)),"ID not found"))</f>
        <v/>
      </c>
      <c r="D206" s="11" t="str">
        <f aca="false">IF(B206="","",IFERROR(INDEX(Leads!$B:$B,MATCH(B206,Leads!$A:$A,0)),""))</f>
        <v/>
      </c>
      <c r="E206" s="36"/>
      <c r="F206" s="36"/>
      <c r="G206" s="36"/>
      <c r="H206" s="35"/>
      <c r="I206" s="36"/>
    </row>
    <row r="207" customFormat="false" ht="15" hidden="false" customHeight="false" outlineLevel="0" collapsed="false">
      <c r="A207" s="35"/>
      <c r="B207" s="36"/>
      <c r="C207" s="11" t="str">
        <f aca="false">IF(B207="","",IFERROR(INDEX(Leads!$C:$C,MATCH(B207,Leads!$A:$A,0)),"ID not found"))</f>
        <v/>
      </c>
      <c r="D207" s="11" t="str">
        <f aca="false">IF(B207="","",IFERROR(INDEX(Leads!$B:$B,MATCH(B207,Leads!$A:$A,0)),""))</f>
        <v/>
      </c>
      <c r="E207" s="36"/>
      <c r="F207" s="36"/>
      <c r="G207" s="36"/>
      <c r="H207" s="35"/>
      <c r="I207" s="36"/>
    </row>
    <row r="208" customFormat="false" ht="15" hidden="false" customHeight="false" outlineLevel="0" collapsed="false">
      <c r="A208" s="35"/>
      <c r="B208" s="36"/>
      <c r="C208" s="11" t="str">
        <f aca="false">IF(B208="","",IFERROR(INDEX(Leads!$C:$C,MATCH(B208,Leads!$A:$A,0)),"ID not found"))</f>
        <v/>
      </c>
      <c r="D208" s="11" t="str">
        <f aca="false">IF(B208="","",IFERROR(INDEX(Leads!$B:$B,MATCH(B208,Leads!$A:$A,0)),""))</f>
        <v/>
      </c>
      <c r="E208" s="36"/>
      <c r="F208" s="36"/>
      <c r="G208" s="36"/>
      <c r="H208" s="35"/>
      <c r="I208" s="36"/>
    </row>
    <row r="209" customFormat="false" ht="15" hidden="false" customHeight="false" outlineLevel="0" collapsed="false">
      <c r="A209" s="35"/>
      <c r="B209" s="36"/>
      <c r="C209" s="11" t="str">
        <f aca="false">IF(B209="","",IFERROR(INDEX(Leads!$C:$C,MATCH(B209,Leads!$A:$A,0)),"ID not found"))</f>
        <v/>
      </c>
      <c r="D209" s="11" t="str">
        <f aca="false">IF(B209="","",IFERROR(INDEX(Leads!$B:$B,MATCH(B209,Leads!$A:$A,0)),""))</f>
        <v/>
      </c>
      <c r="E209" s="36"/>
      <c r="F209" s="36"/>
      <c r="G209" s="36"/>
      <c r="H209" s="35"/>
      <c r="I209" s="36"/>
    </row>
    <row r="210" customFormat="false" ht="15" hidden="false" customHeight="false" outlineLevel="0" collapsed="false">
      <c r="A210" s="35"/>
      <c r="B210" s="36"/>
      <c r="C210" s="11" t="str">
        <f aca="false">IF(B210="","",IFERROR(INDEX(Leads!$C:$C,MATCH(B210,Leads!$A:$A,0)),"ID not found"))</f>
        <v/>
      </c>
      <c r="D210" s="11" t="str">
        <f aca="false">IF(B210="","",IFERROR(INDEX(Leads!$B:$B,MATCH(B210,Leads!$A:$A,0)),""))</f>
        <v/>
      </c>
      <c r="E210" s="36"/>
      <c r="F210" s="36"/>
      <c r="G210" s="36"/>
      <c r="H210" s="35"/>
      <c r="I210" s="36"/>
    </row>
    <row r="211" customFormat="false" ht="15" hidden="false" customHeight="false" outlineLevel="0" collapsed="false">
      <c r="A211" s="35"/>
      <c r="B211" s="36"/>
      <c r="C211" s="11" t="str">
        <f aca="false">IF(B211="","",IFERROR(INDEX(Leads!$C:$C,MATCH(B211,Leads!$A:$A,0)),"ID not found"))</f>
        <v/>
      </c>
      <c r="D211" s="11" t="str">
        <f aca="false">IF(B211="","",IFERROR(INDEX(Leads!$B:$B,MATCH(B211,Leads!$A:$A,0)),""))</f>
        <v/>
      </c>
      <c r="E211" s="36"/>
      <c r="F211" s="36"/>
      <c r="G211" s="36"/>
      <c r="H211" s="35"/>
      <c r="I211" s="36"/>
    </row>
    <row r="212" customFormat="false" ht="15" hidden="false" customHeight="false" outlineLevel="0" collapsed="false">
      <c r="A212" s="35"/>
      <c r="B212" s="36"/>
      <c r="C212" s="11" t="str">
        <f aca="false">IF(B212="","",IFERROR(INDEX(Leads!$C:$C,MATCH(B212,Leads!$A:$A,0)),"ID not found"))</f>
        <v/>
      </c>
      <c r="D212" s="11" t="str">
        <f aca="false">IF(B212="","",IFERROR(INDEX(Leads!$B:$B,MATCH(B212,Leads!$A:$A,0)),""))</f>
        <v/>
      </c>
      <c r="E212" s="36"/>
      <c r="F212" s="36"/>
      <c r="G212" s="36"/>
      <c r="H212" s="35"/>
      <c r="I212" s="36"/>
    </row>
    <row r="213" customFormat="false" ht="15" hidden="false" customHeight="false" outlineLevel="0" collapsed="false">
      <c r="A213" s="35"/>
      <c r="B213" s="36"/>
      <c r="C213" s="11" t="str">
        <f aca="false">IF(B213="","",IFERROR(INDEX(Leads!$C:$C,MATCH(B213,Leads!$A:$A,0)),"ID not found"))</f>
        <v/>
      </c>
      <c r="D213" s="11" t="str">
        <f aca="false">IF(B213="","",IFERROR(INDEX(Leads!$B:$B,MATCH(B213,Leads!$A:$A,0)),""))</f>
        <v/>
      </c>
      <c r="E213" s="36"/>
      <c r="F213" s="36"/>
      <c r="G213" s="36"/>
      <c r="H213" s="35"/>
      <c r="I213" s="36"/>
    </row>
    <row r="214" customFormat="false" ht="15" hidden="false" customHeight="false" outlineLevel="0" collapsed="false">
      <c r="A214" s="35"/>
      <c r="B214" s="36"/>
      <c r="C214" s="11" t="str">
        <f aca="false">IF(B214="","",IFERROR(INDEX(Leads!$C:$C,MATCH(B214,Leads!$A:$A,0)),"ID not found"))</f>
        <v/>
      </c>
      <c r="D214" s="11" t="str">
        <f aca="false">IF(B214="","",IFERROR(INDEX(Leads!$B:$B,MATCH(B214,Leads!$A:$A,0)),""))</f>
        <v/>
      </c>
      <c r="E214" s="36"/>
      <c r="F214" s="36"/>
      <c r="G214" s="36"/>
      <c r="H214" s="35"/>
      <c r="I214" s="36"/>
    </row>
    <row r="215" customFormat="false" ht="15" hidden="false" customHeight="false" outlineLevel="0" collapsed="false">
      <c r="A215" s="35"/>
      <c r="B215" s="36"/>
      <c r="C215" s="11" t="str">
        <f aca="false">IF(B215="","",IFERROR(INDEX(Leads!$C:$C,MATCH(B215,Leads!$A:$A,0)),"ID not found"))</f>
        <v/>
      </c>
      <c r="D215" s="11" t="str">
        <f aca="false">IF(B215="","",IFERROR(INDEX(Leads!$B:$B,MATCH(B215,Leads!$A:$A,0)),""))</f>
        <v/>
      </c>
      <c r="E215" s="36"/>
      <c r="F215" s="36"/>
      <c r="G215" s="36"/>
      <c r="H215" s="35"/>
      <c r="I215" s="36"/>
    </row>
    <row r="216" customFormat="false" ht="15" hidden="false" customHeight="false" outlineLevel="0" collapsed="false">
      <c r="A216" s="35"/>
      <c r="B216" s="36"/>
      <c r="C216" s="11" t="str">
        <f aca="false">IF(B216="","",IFERROR(INDEX(Leads!$C:$C,MATCH(B216,Leads!$A:$A,0)),"ID not found"))</f>
        <v/>
      </c>
      <c r="D216" s="11" t="str">
        <f aca="false">IF(B216="","",IFERROR(INDEX(Leads!$B:$B,MATCH(B216,Leads!$A:$A,0)),""))</f>
        <v/>
      </c>
      <c r="E216" s="36"/>
      <c r="F216" s="36"/>
      <c r="G216" s="36"/>
      <c r="H216" s="35"/>
      <c r="I216" s="36"/>
    </row>
    <row r="217" customFormat="false" ht="15" hidden="false" customHeight="false" outlineLevel="0" collapsed="false">
      <c r="A217" s="35"/>
      <c r="B217" s="36"/>
      <c r="C217" s="11" t="str">
        <f aca="false">IF(B217="","",IFERROR(INDEX(Leads!$C:$C,MATCH(B217,Leads!$A:$A,0)),"ID not found"))</f>
        <v/>
      </c>
      <c r="D217" s="11" t="str">
        <f aca="false">IF(B217="","",IFERROR(INDEX(Leads!$B:$B,MATCH(B217,Leads!$A:$A,0)),""))</f>
        <v/>
      </c>
      <c r="E217" s="36"/>
      <c r="F217" s="36"/>
      <c r="G217" s="36"/>
      <c r="H217" s="35"/>
      <c r="I217" s="36"/>
    </row>
    <row r="218" customFormat="false" ht="15" hidden="false" customHeight="false" outlineLevel="0" collapsed="false">
      <c r="A218" s="35"/>
      <c r="B218" s="36"/>
      <c r="C218" s="11" t="str">
        <f aca="false">IF(B218="","",IFERROR(INDEX(Leads!$C:$C,MATCH(B218,Leads!$A:$A,0)),"ID not found"))</f>
        <v/>
      </c>
      <c r="D218" s="11" t="str">
        <f aca="false">IF(B218="","",IFERROR(INDEX(Leads!$B:$B,MATCH(B218,Leads!$A:$A,0)),""))</f>
        <v/>
      </c>
      <c r="E218" s="36"/>
      <c r="F218" s="36"/>
      <c r="G218" s="36"/>
      <c r="H218" s="35"/>
      <c r="I218" s="36"/>
    </row>
    <row r="219" customFormat="false" ht="15" hidden="false" customHeight="false" outlineLevel="0" collapsed="false">
      <c r="A219" s="35"/>
      <c r="B219" s="36"/>
      <c r="C219" s="11" t="str">
        <f aca="false">IF(B219="","",IFERROR(INDEX(Leads!$C:$C,MATCH(B219,Leads!$A:$A,0)),"ID not found"))</f>
        <v/>
      </c>
      <c r="D219" s="11" t="str">
        <f aca="false">IF(B219="","",IFERROR(INDEX(Leads!$B:$B,MATCH(B219,Leads!$A:$A,0)),""))</f>
        <v/>
      </c>
      <c r="E219" s="36"/>
      <c r="F219" s="36"/>
      <c r="G219" s="36"/>
      <c r="H219" s="35"/>
      <c r="I219" s="36"/>
    </row>
    <row r="220" customFormat="false" ht="15" hidden="false" customHeight="false" outlineLevel="0" collapsed="false">
      <c r="A220" s="35"/>
      <c r="B220" s="36"/>
      <c r="C220" s="11" t="str">
        <f aca="false">IF(B220="","",IFERROR(INDEX(Leads!$C:$C,MATCH(B220,Leads!$A:$A,0)),"ID not found"))</f>
        <v/>
      </c>
      <c r="D220" s="11" t="str">
        <f aca="false">IF(B220="","",IFERROR(INDEX(Leads!$B:$B,MATCH(B220,Leads!$A:$A,0)),""))</f>
        <v/>
      </c>
      <c r="E220" s="36"/>
      <c r="F220" s="36"/>
      <c r="G220" s="36"/>
      <c r="H220" s="35"/>
      <c r="I220" s="36"/>
    </row>
    <row r="221" customFormat="false" ht="15" hidden="false" customHeight="false" outlineLevel="0" collapsed="false">
      <c r="A221" s="35"/>
      <c r="B221" s="36"/>
      <c r="C221" s="11" t="str">
        <f aca="false">IF(B221="","",IFERROR(INDEX(Leads!$C:$C,MATCH(B221,Leads!$A:$A,0)),"ID not found"))</f>
        <v/>
      </c>
      <c r="D221" s="11" t="str">
        <f aca="false">IF(B221="","",IFERROR(INDEX(Leads!$B:$B,MATCH(B221,Leads!$A:$A,0)),""))</f>
        <v/>
      </c>
      <c r="E221" s="36"/>
      <c r="F221" s="36"/>
      <c r="G221" s="36"/>
      <c r="H221" s="35"/>
      <c r="I221" s="36"/>
    </row>
    <row r="222" customFormat="false" ht="15" hidden="false" customHeight="false" outlineLevel="0" collapsed="false">
      <c r="A222" s="35"/>
      <c r="B222" s="36"/>
      <c r="C222" s="11" t="str">
        <f aca="false">IF(B222="","",IFERROR(INDEX(Leads!$C:$C,MATCH(B222,Leads!$A:$A,0)),"ID not found"))</f>
        <v/>
      </c>
      <c r="D222" s="11" t="str">
        <f aca="false">IF(B222="","",IFERROR(INDEX(Leads!$B:$B,MATCH(B222,Leads!$A:$A,0)),""))</f>
        <v/>
      </c>
      <c r="E222" s="36"/>
      <c r="F222" s="36"/>
      <c r="G222" s="36"/>
      <c r="H222" s="35"/>
      <c r="I222" s="36"/>
    </row>
    <row r="223" customFormat="false" ht="15" hidden="false" customHeight="false" outlineLevel="0" collapsed="false">
      <c r="A223" s="35"/>
      <c r="B223" s="36"/>
      <c r="C223" s="11" t="str">
        <f aca="false">IF(B223="","",IFERROR(INDEX(Leads!$C:$C,MATCH(B223,Leads!$A:$A,0)),"ID not found"))</f>
        <v/>
      </c>
      <c r="D223" s="11" t="str">
        <f aca="false">IF(B223="","",IFERROR(INDEX(Leads!$B:$B,MATCH(B223,Leads!$A:$A,0)),""))</f>
        <v/>
      </c>
      <c r="E223" s="36"/>
      <c r="F223" s="36"/>
      <c r="G223" s="36"/>
      <c r="H223" s="35"/>
      <c r="I223" s="36"/>
    </row>
    <row r="224" customFormat="false" ht="15" hidden="false" customHeight="false" outlineLevel="0" collapsed="false">
      <c r="A224" s="35"/>
      <c r="B224" s="36"/>
      <c r="C224" s="11" t="str">
        <f aca="false">IF(B224="","",IFERROR(INDEX(Leads!$C:$C,MATCH(B224,Leads!$A:$A,0)),"ID not found"))</f>
        <v/>
      </c>
      <c r="D224" s="11" t="str">
        <f aca="false">IF(B224="","",IFERROR(INDEX(Leads!$B:$B,MATCH(B224,Leads!$A:$A,0)),""))</f>
        <v/>
      </c>
      <c r="E224" s="36"/>
      <c r="F224" s="36"/>
      <c r="G224" s="36"/>
      <c r="H224" s="35"/>
      <c r="I224" s="36"/>
    </row>
    <row r="225" customFormat="false" ht="15" hidden="false" customHeight="false" outlineLevel="0" collapsed="false">
      <c r="A225" s="35"/>
      <c r="B225" s="36"/>
      <c r="C225" s="11" t="str">
        <f aca="false">IF(B225="","",IFERROR(INDEX(Leads!$C:$C,MATCH(B225,Leads!$A:$A,0)),"ID not found"))</f>
        <v/>
      </c>
      <c r="D225" s="11" t="str">
        <f aca="false">IF(B225="","",IFERROR(INDEX(Leads!$B:$B,MATCH(B225,Leads!$A:$A,0)),""))</f>
        <v/>
      </c>
      <c r="E225" s="36"/>
      <c r="F225" s="36"/>
      <c r="G225" s="36"/>
      <c r="H225" s="35"/>
      <c r="I225" s="36"/>
    </row>
    <row r="226" customFormat="false" ht="15" hidden="false" customHeight="false" outlineLevel="0" collapsed="false">
      <c r="A226" s="35"/>
      <c r="B226" s="36"/>
      <c r="C226" s="11" t="str">
        <f aca="false">IF(B226="","",IFERROR(INDEX(Leads!$C:$C,MATCH(B226,Leads!$A:$A,0)),"ID not found"))</f>
        <v/>
      </c>
      <c r="D226" s="11" t="str">
        <f aca="false">IF(B226="","",IFERROR(INDEX(Leads!$B:$B,MATCH(B226,Leads!$A:$A,0)),""))</f>
        <v/>
      </c>
      <c r="E226" s="36"/>
      <c r="F226" s="36"/>
      <c r="G226" s="36"/>
      <c r="H226" s="35"/>
      <c r="I226" s="36"/>
    </row>
    <row r="227" customFormat="false" ht="15" hidden="false" customHeight="false" outlineLevel="0" collapsed="false">
      <c r="A227" s="35"/>
      <c r="B227" s="36"/>
      <c r="C227" s="11" t="str">
        <f aca="false">IF(B227="","",IFERROR(INDEX(Leads!$C:$C,MATCH(B227,Leads!$A:$A,0)),"ID not found"))</f>
        <v/>
      </c>
      <c r="D227" s="11" t="str">
        <f aca="false">IF(B227="","",IFERROR(INDEX(Leads!$B:$B,MATCH(B227,Leads!$A:$A,0)),""))</f>
        <v/>
      </c>
      <c r="E227" s="36"/>
      <c r="F227" s="36"/>
      <c r="G227" s="36"/>
      <c r="H227" s="35"/>
      <c r="I227" s="36"/>
    </row>
    <row r="228" customFormat="false" ht="15" hidden="false" customHeight="false" outlineLevel="0" collapsed="false">
      <c r="A228" s="35"/>
      <c r="B228" s="36"/>
      <c r="C228" s="11" t="str">
        <f aca="false">IF(B228="","",IFERROR(INDEX(Leads!$C:$C,MATCH(B228,Leads!$A:$A,0)),"ID not found"))</f>
        <v/>
      </c>
      <c r="D228" s="11" t="str">
        <f aca="false">IF(B228="","",IFERROR(INDEX(Leads!$B:$B,MATCH(B228,Leads!$A:$A,0)),""))</f>
        <v/>
      </c>
      <c r="E228" s="36"/>
      <c r="F228" s="36"/>
      <c r="G228" s="36"/>
      <c r="H228" s="35"/>
      <c r="I228" s="36"/>
    </row>
    <row r="229" customFormat="false" ht="15" hidden="false" customHeight="false" outlineLevel="0" collapsed="false">
      <c r="A229" s="35"/>
      <c r="B229" s="36"/>
      <c r="C229" s="11" t="str">
        <f aca="false">IF(B229="","",IFERROR(INDEX(Leads!$C:$C,MATCH(B229,Leads!$A:$A,0)),"ID not found"))</f>
        <v/>
      </c>
      <c r="D229" s="11" t="str">
        <f aca="false">IF(B229="","",IFERROR(INDEX(Leads!$B:$B,MATCH(B229,Leads!$A:$A,0)),""))</f>
        <v/>
      </c>
      <c r="E229" s="36"/>
      <c r="F229" s="36"/>
      <c r="G229" s="36"/>
      <c r="H229" s="35"/>
      <c r="I229" s="36"/>
    </row>
    <row r="230" customFormat="false" ht="15" hidden="false" customHeight="false" outlineLevel="0" collapsed="false">
      <c r="A230" s="35"/>
      <c r="B230" s="36"/>
      <c r="C230" s="11" t="str">
        <f aca="false">IF(B230="","",IFERROR(INDEX(Leads!$C:$C,MATCH(B230,Leads!$A:$A,0)),"ID not found"))</f>
        <v/>
      </c>
      <c r="D230" s="11" t="str">
        <f aca="false">IF(B230="","",IFERROR(INDEX(Leads!$B:$B,MATCH(B230,Leads!$A:$A,0)),""))</f>
        <v/>
      </c>
      <c r="E230" s="36"/>
      <c r="F230" s="36"/>
      <c r="G230" s="36"/>
      <c r="H230" s="35"/>
      <c r="I230" s="36"/>
    </row>
    <row r="231" customFormat="false" ht="15" hidden="false" customHeight="false" outlineLevel="0" collapsed="false">
      <c r="A231" s="35"/>
      <c r="B231" s="36"/>
      <c r="C231" s="11" t="str">
        <f aca="false">IF(B231="","",IFERROR(INDEX(Leads!$C:$C,MATCH(B231,Leads!$A:$A,0)),"ID not found"))</f>
        <v/>
      </c>
      <c r="D231" s="11" t="str">
        <f aca="false">IF(B231="","",IFERROR(INDEX(Leads!$B:$B,MATCH(B231,Leads!$A:$A,0)),""))</f>
        <v/>
      </c>
      <c r="E231" s="36"/>
      <c r="F231" s="36"/>
      <c r="G231" s="36"/>
      <c r="H231" s="35"/>
      <c r="I231" s="36"/>
    </row>
    <row r="232" customFormat="false" ht="15" hidden="false" customHeight="false" outlineLevel="0" collapsed="false">
      <c r="A232" s="35"/>
      <c r="B232" s="36"/>
      <c r="C232" s="11" t="str">
        <f aca="false">IF(B232="","",IFERROR(INDEX(Leads!$C:$C,MATCH(B232,Leads!$A:$A,0)),"ID not found"))</f>
        <v/>
      </c>
      <c r="D232" s="11" t="str">
        <f aca="false">IF(B232="","",IFERROR(INDEX(Leads!$B:$B,MATCH(B232,Leads!$A:$A,0)),""))</f>
        <v/>
      </c>
      <c r="E232" s="36"/>
      <c r="F232" s="36"/>
      <c r="G232" s="36"/>
      <c r="H232" s="35"/>
      <c r="I232" s="36"/>
    </row>
    <row r="233" customFormat="false" ht="15" hidden="false" customHeight="false" outlineLevel="0" collapsed="false">
      <c r="A233" s="35"/>
      <c r="B233" s="36"/>
      <c r="C233" s="11" t="str">
        <f aca="false">IF(B233="","",IFERROR(INDEX(Leads!$C:$C,MATCH(B233,Leads!$A:$A,0)),"ID not found"))</f>
        <v/>
      </c>
      <c r="D233" s="11" t="str">
        <f aca="false">IF(B233="","",IFERROR(INDEX(Leads!$B:$B,MATCH(B233,Leads!$A:$A,0)),""))</f>
        <v/>
      </c>
      <c r="E233" s="36"/>
      <c r="F233" s="36"/>
      <c r="G233" s="36"/>
      <c r="H233" s="35"/>
      <c r="I233" s="36"/>
    </row>
    <row r="234" customFormat="false" ht="15" hidden="false" customHeight="false" outlineLevel="0" collapsed="false">
      <c r="A234" s="35"/>
      <c r="B234" s="36"/>
      <c r="C234" s="11" t="str">
        <f aca="false">IF(B234="","",IFERROR(INDEX(Leads!$C:$C,MATCH(B234,Leads!$A:$A,0)),"ID not found"))</f>
        <v/>
      </c>
      <c r="D234" s="11" t="str">
        <f aca="false">IF(B234="","",IFERROR(INDEX(Leads!$B:$B,MATCH(B234,Leads!$A:$A,0)),""))</f>
        <v/>
      </c>
      <c r="E234" s="36"/>
      <c r="F234" s="36"/>
      <c r="G234" s="36"/>
      <c r="H234" s="35"/>
      <c r="I234" s="36"/>
    </row>
    <row r="235" customFormat="false" ht="15" hidden="false" customHeight="false" outlineLevel="0" collapsed="false">
      <c r="A235" s="35"/>
      <c r="B235" s="36"/>
      <c r="C235" s="11" t="str">
        <f aca="false">IF(B235="","",IFERROR(INDEX(Leads!$C:$C,MATCH(B235,Leads!$A:$A,0)),"ID not found"))</f>
        <v/>
      </c>
      <c r="D235" s="11" t="str">
        <f aca="false">IF(B235="","",IFERROR(INDEX(Leads!$B:$B,MATCH(B235,Leads!$A:$A,0)),""))</f>
        <v/>
      </c>
      <c r="E235" s="36"/>
      <c r="F235" s="36"/>
      <c r="G235" s="36"/>
      <c r="H235" s="35"/>
      <c r="I235" s="36"/>
    </row>
    <row r="236" customFormat="false" ht="15" hidden="false" customHeight="false" outlineLevel="0" collapsed="false">
      <c r="A236" s="35"/>
      <c r="B236" s="36"/>
      <c r="C236" s="11" t="str">
        <f aca="false">IF(B236="","",IFERROR(INDEX(Leads!$C:$C,MATCH(B236,Leads!$A:$A,0)),"ID not found"))</f>
        <v/>
      </c>
      <c r="D236" s="11" t="str">
        <f aca="false">IF(B236="","",IFERROR(INDEX(Leads!$B:$B,MATCH(B236,Leads!$A:$A,0)),""))</f>
        <v/>
      </c>
      <c r="E236" s="36"/>
      <c r="F236" s="36"/>
      <c r="G236" s="36"/>
      <c r="H236" s="35"/>
      <c r="I236" s="36"/>
    </row>
    <row r="237" customFormat="false" ht="15" hidden="false" customHeight="false" outlineLevel="0" collapsed="false">
      <c r="A237" s="35"/>
      <c r="B237" s="36"/>
      <c r="C237" s="11" t="str">
        <f aca="false">IF(B237="","",IFERROR(INDEX(Leads!$C:$C,MATCH(B237,Leads!$A:$A,0)),"ID not found"))</f>
        <v/>
      </c>
      <c r="D237" s="11" t="str">
        <f aca="false">IF(B237="","",IFERROR(INDEX(Leads!$B:$B,MATCH(B237,Leads!$A:$A,0)),""))</f>
        <v/>
      </c>
      <c r="E237" s="36"/>
      <c r="F237" s="36"/>
      <c r="G237" s="36"/>
      <c r="H237" s="35"/>
      <c r="I237" s="36"/>
    </row>
    <row r="238" customFormat="false" ht="15" hidden="false" customHeight="false" outlineLevel="0" collapsed="false">
      <c r="A238" s="35"/>
      <c r="B238" s="36"/>
      <c r="C238" s="11" t="str">
        <f aca="false">IF(B238="","",IFERROR(INDEX(Leads!$C:$C,MATCH(B238,Leads!$A:$A,0)),"ID not found"))</f>
        <v/>
      </c>
      <c r="D238" s="11" t="str">
        <f aca="false">IF(B238="","",IFERROR(INDEX(Leads!$B:$B,MATCH(B238,Leads!$A:$A,0)),""))</f>
        <v/>
      </c>
      <c r="E238" s="36"/>
      <c r="F238" s="36"/>
      <c r="G238" s="36"/>
      <c r="H238" s="35"/>
      <c r="I238" s="36"/>
    </row>
    <row r="239" customFormat="false" ht="15" hidden="false" customHeight="false" outlineLevel="0" collapsed="false">
      <c r="A239" s="35"/>
      <c r="B239" s="36"/>
      <c r="C239" s="11" t="str">
        <f aca="false">IF(B239="","",IFERROR(INDEX(Leads!$C:$C,MATCH(B239,Leads!$A:$A,0)),"ID not found"))</f>
        <v/>
      </c>
      <c r="D239" s="11" t="str">
        <f aca="false">IF(B239="","",IFERROR(INDEX(Leads!$B:$B,MATCH(B239,Leads!$A:$A,0)),""))</f>
        <v/>
      </c>
      <c r="E239" s="36"/>
      <c r="F239" s="36"/>
      <c r="G239" s="36"/>
      <c r="H239" s="35"/>
      <c r="I239" s="36"/>
    </row>
    <row r="240" customFormat="false" ht="15" hidden="false" customHeight="false" outlineLevel="0" collapsed="false">
      <c r="A240" s="35"/>
      <c r="B240" s="36"/>
      <c r="C240" s="11" t="str">
        <f aca="false">IF(B240="","",IFERROR(INDEX(Leads!$C:$C,MATCH(B240,Leads!$A:$A,0)),"ID not found"))</f>
        <v/>
      </c>
      <c r="D240" s="11" t="str">
        <f aca="false">IF(B240="","",IFERROR(INDEX(Leads!$B:$B,MATCH(B240,Leads!$A:$A,0)),""))</f>
        <v/>
      </c>
      <c r="E240" s="36"/>
      <c r="F240" s="36"/>
      <c r="G240" s="36"/>
      <c r="H240" s="35"/>
      <c r="I240" s="36"/>
    </row>
    <row r="241" customFormat="false" ht="15" hidden="false" customHeight="false" outlineLevel="0" collapsed="false">
      <c r="A241" s="35"/>
      <c r="B241" s="36"/>
      <c r="C241" s="11" t="str">
        <f aca="false">IF(B241="","",IFERROR(INDEX(Leads!$C:$C,MATCH(B241,Leads!$A:$A,0)),"ID not found"))</f>
        <v/>
      </c>
      <c r="D241" s="11" t="str">
        <f aca="false">IF(B241="","",IFERROR(INDEX(Leads!$B:$B,MATCH(B241,Leads!$A:$A,0)),""))</f>
        <v/>
      </c>
      <c r="E241" s="36"/>
      <c r="F241" s="36"/>
      <c r="G241" s="36"/>
      <c r="H241" s="35"/>
      <c r="I241" s="36"/>
    </row>
    <row r="242" customFormat="false" ht="15" hidden="false" customHeight="false" outlineLevel="0" collapsed="false">
      <c r="A242" s="35"/>
      <c r="B242" s="36"/>
      <c r="C242" s="11" t="str">
        <f aca="false">IF(B242="","",IFERROR(INDEX(Leads!$C:$C,MATCH(B242,Leads!$A:$A,0)),"ID not found"))</f>
        <v/>
      </c>
      <c r="D242" s="11" t="str">
        <f aca="false">IF(B242="","",IFERROR(INDEX(Leads!$B:$B,MATCH(B242,Leads!$A:$A,0)),""))</f>
        <v/>
      </c>
      <c r="E242" s="36"/>
      <c r="F242" s="36"/>
      <c r="G242" s="36"/>
      <c r="H242" s="35"/>
      <c r="I242" s="36"/>
    </row>
    <row r="243" customFormat="false" ht="15" hidden="false" customHeight="false" outlineLevel="0" collapsed="false">
      <c r="A243" s="35"/>
      <c r="B243" s="36"/>
      <c r="C243" s="11" t="str">
        <f aca="false">IF(B243="","",IFERROR(INDEX(Leads!$C:$C,MATCH(B243,Leads!$A:$A,0)),"ID not found"))</f>
        <v/>
      </c>
      <c r="D243" s="11" t="str">
        <f aca="false">IF(B243="","",IFERROR(INDEX(Leads!$B:$B,MATCH(B243,Leads!$A:$A,0)),""))</f>
        <v/>
      </c>
      <c r="E243" s="36"/>
      <c r="F243" s="36"/>
      <c r="G243" s="36"/>
      <c r="H243" s="35"/>
      <c r="I243" s="36"/>
    </row>
    <row r="244" customFormat="false" ht="15" hidden="false" customHeight="false" outlineLevel="0" collapsed="false">
      <c r="A244" s="35"/>
      <c r="B244" s="36"/>
      <c r="C244" s="11" t="str">
        <f aca="false">IF(B244="","",IFERROR(INDEX(Leads!$C:$C,MATCH(B244,Leads!$A:$A,0)),"ID not found"))</f>
        <v/>
      </c>
      <c r="D244" s="11" t="str">
        <f aca="false">IF(B244="","",IFERROR(INDEX(Leads!$B:$B,MATCH(B244,Leads!$A:$A,0)),""))</f>
        <v/>
      </c>
      <c r="E244" s="36"/>
      <c r="F244" s="36"/>
      <c r="G244" s="36"/>
      <c r="H244" s="35"/>
      <c r="I244" s="36"/>
    </row>
    <row r="245" customFormat="false" ht="15" hidden="false" customHeight="false" outlineLevel="0" collapsed="false">
      <c r="A245" s="35"/>
      <c r="B245" s="36"/>
      <c r="C245" s="11" t="str">
        <f aca="false">IF(B245="","",IFERROR(INDEX(Leads!$C:$C,MATCH(B245,Leads!$A:$A,0)),"ID not found"))</f>
        <v/>
      </c>
      <c r="D245" s="11" t="str">
        <f aca="false">IF(B245="","",IFERROR(INDEX(Leads!$B:$B,MATCH(B245,Leads!$A:$A,0)),""))</f>
        <v/>
      </c>
      <c r="E245" s="36"/>
      <c r="F245" s="36"/>
      <c r="G245" s="36"/>
      <c r="H245" s="35"/>
      <c r="I245" s="36"/>
    </row>
    <row r="246" customFormat="false" ht="15" hidden="false" customHeight="false" outlineLevel="0" collapsed="false">
      <c r="A246" s="35"/>
      <c r="B246" s="36"/>
      <c r="C246" s="11" t="str">
        <f aca="false">IF(B246="","",IFERROR(INDEX(Leads!$C:$C,MATCH(B246,Leads!$A:$A,0)),"ID not found"))</f>
        <v/>
      </c>
      <c r="D246" s="11" t="str">
        <f aca="false">IF(B246="","",IFERROR(INDEX(Leads!$B:$B,MATCH(B246,Leads!$A:$A,0)),""))</f>
        <v/>
      </c>
      <c r="E246" s="36"/>
      <c r="F246" s="36"/>
      <c r="G246" s="36"/>
      <c r="H246" s="35"/>
      <c r="I246" s="36"/>
    </row>
    <row r="247" customFormat="false" ht="15" hidden="false" customHeight="false" outlineLevel="0" collapsed="false">
      <c r="A247" s="35"/>
      <c r="B247" s="36"/>
      <c r="C247" s="11" t="str">
        <f aca="false">IF(B247="","",IFERROR(INDEX(Leads!$C:$C,MATCH(B247,Leads!$A:$A,0)),"ID not found"))</f>
        <v/>
      </c>
      <c r="D247" s="11" t="str">
        <f aca="false">IF(B247="","",IFERROR(INDEX(Leads!$B:$B,MATCH(B247,Leads!$A:$A,0)),""))</f>
        <v/>
      </c>
      <c r="E247" s="36"/>
      <c r="F247" s="36"/>
      <c r="G247" s="36"/>
      <c r="H247" s="35"/>
      <c r="I247" s="36"/>
    </row>
    <row r="248" customFormat="false" ht="15" hidden="false" customHeight="false" outlineLevel="0" collapsed="false">
      <c r="A248" s="35"/>
      <c r="B248" s="36"/>
      <c r="C248" s="11" t="str">
        <f aca="false">IF(B248="","",IFERROR(INDEX(Leads!$C:$C,MATCH(B248,Leads!$A:$A,0)),"ID not found"))</f>
        <v/>
      </c>
      <c r="D248" s="11" t="str">
        <f aca="false">IF(B248="","",IFERROR(INDEX(Leads!$B:$B,MATCH(B248,Leads!$A:$A,0)),""))</f>
        <v/>
      </c>
      <c r="E248" s="36"/>
      <c r="F248" s="36"/>
      <c r="G248" s="36"/>
      <c r="H248" s="35"/>
      <c r="I248" s="36"/>
    </row>
    <row r="249" customFormat="false" ht="15" hidden="false" customHeight="false" outlineLevel="0" collapsed="false">
      <c r="A249" s="35"/>
      <c r="B249" s="36"/>
      <c r="C249" s="11" t="str">
        <f aca="false">IF(B249="","",IFERROR(INDEX(Leads!$C:$C,MATCH(B249,Leads!$A:$A,0)),"ID not found"))</f>
        <v/>
      </c>
      <c r="D249" s="11" t="str">
        <f aca="false">IF(B249="","",IFERROR(INDEX(Leads!$B:$B,MATCH(B249,Leads!$A:$A,0)),""))</f>
        <v/>
      </c>
      <c r="E249" s="36"/>
      <c r="F249" s="36"/>
      <c r="G249" s="36"/>
      <c r="H249" s="35"/>
      <c r="I249" s="36"/>
    </row>
    <row r="250" customFormat="false" ht="15" hidden="false" customHeight="false" outlineLevel="0" collapsed="false">
      <c r="A250" s="35"/>
      <c r="B250" s="36"/>
      <c r="C250" s="11" t="str">
        <f aca="false">IF(B250="","",IFERROR(INDEX(Leads!$C:$C,MATCH(B250,Leads!$A:$A,0)),"ID not found"))</f>
        <v/>
      </c>
      <c r="D250" s="11" t="str">
        <f aca="false">IF(B250="","",IFERROR(INDEX(Leads!$B:$B,MATCH(B250,Leads!$A:$A,0)),""))</f>
        <v/>
      </c>
      <c r="E250" s="36"/>
      <c r="F250" s="36"/>
      <c r="G250" s="36"/>
      <c r="H250" s="35"/>
      <c r="I250" s="36"/>
    </row>
    <row r="251" customFormat="false" ht="15" hidden="false" customHeight="false" outlineLevel="0" collapsed="false">
      <c r="A251" s="35"/>
      <c r="B251" s="36"/>
      <c r="C251" s="11" t="str">
        <f aca="false">IF(B251="","",IFERROR(INDEX(Leads!$C:$C,MATCH(B251,Leads!$A:$A,0)),"ID not found"))</f>
        <v/>
      </c>
      <c r="D251" s="11" t="str">
        <f aca="false">IF(B251="","",IFERROR(INDEX(Leads!$B:$B,MATCH(B251,Leads!$A:$A,0)),""))</f>
        <v/>
      </c>
      <c r="E251" s="36"/>
      <c r="F251" s="36"/>
      <c r="G251" s="36"/>
      <c r="H251" s="35"/>
      <c r="I251" s="36"/>
    </row>
    <row r="252" customFormat="false" ht="15" hidden="false" customHeight="false" outlineLevel="0" collapsed="false">
      <c r="A252" s="35"/>
      <c r="B252" s="36"/>
      <c r="C252" s="11" t="str">
        <f aca="false">IF(B252="","",IFERROR(INDEX(Leads!$C:$C,MATCH(B252,Leads!$A:$A,0)),"ID not found"))</f>
        <v/>
      </c>
      <c r="D252" s="11" t="str">
        <f aca="false">IF(B252="","",IFERROR(INDEX(Leads!$B:$B,MATCH(B252,Leads!$A:$A,0)),""))</f>
        <v/>
      </c>
      <c r="E252" s="36"/>
      <c r="F252" s="36"/>
      <c r="G252" s="36"/>
      <c r="H252" s="35"/>
      <c r="I252" s="36"/>
    </row>
    <row r="253" customFormat="false" ht="15" hidden="false" customHeight="false" outlineLevel="0" collapsed="false">
      <c r="A253" s="35"/>
      <c r="B253" s="36"/>
      <c r="C253" s="11" t="str">
        <f aca="false">IF(B253="","",IFERROR(INDEX(Leads!$C:$C,MATCH(B253,Leads!$A:$A,0)),"ID not found"))</f>
        <v/>
      </c>
      <c r="D253" s="11" t="str">
        <f aca="false">IF(B253="","",IFERROR(INDEX(Leads!$B:$B,MATCH(B253,Leads!$A:$A,0)),""))</f>
        <v/>
      </c>
      <c r="E253" s="36"/>
      <c r="F253" s="36"/>
      <c r="G253" s="36"/>
      <c r="H253" s="35"/>
      <c r="I253" s="36"/>
    </row>
    <row r="254" customFormat="false" ht="15" hidden="false" customHeight="false" outlineLevel="0" collapsed="false">
      <c r="A254" s="35"/>
      <c r="B254" s="36"/>
      <c r="C254" s="11" t="str">
        <f aca="false">IF(B254="","",IFERROR(INDEX(Leads!$C:$C,MATCH(B254,Leads!$A:$A,0)),"ID not found"))</f>
        <v/>
      </c>
      <c r="D254" s="11" t="str">
        <f aca="false">IF(B254="","",IFERROR(INDEX(Leads!$B:$B,MATCH(B254,Leads!$A:$A,0)),""))</f>
        <v/>
      </c>
      <c r="E254" s="36"/>
      <c r="F254" s="36"/>
      <c r="G254" s="36"/>
      <c r="H254" s="35"/>
      <c r="I254" s="36"/>
    </row>
    <row r="255" customFormat="false" ht="15" hidden="false" customHeight="false" outlineLevel="0" collapsed="false">
      <c r="A255" s="35"/>
      <c r="B255" s="36"/>
      <c r="C255" s="11" t="str">
        <f aca="false">IF(B255="","",IFERROR(INDEX(Leads!$C:$C,MATCH(B255,Leads!$A:$A,0)),"ID not found"))</f>
        <v/>
      </c>
      <c r="D255" s="11" t="str">
        <f aca="false">IF(B255="","",IFERROR(INDEX(Leads!$B:$B,MATCH(B255,Leads!$A:$A,0)),""))</f>
        <v/>
      </c>
      <c r="E255" s="36"/>
      <c r="F255" s="36"/>
      <c r="G255" s="36"/>
      <c r="H255" s="35"/>
      <c r="I255" s="36"/>
    </row>
    <row r="256" customFormat="false" ht="15" hidden="false" customHeight="false" outlineLevel="0" collapsed="false">
      <c r="A256" s="35"/>
      <c r="B256" s="36"/>
      <c r="C256" s="11" t="str">
        <f aca="false">IF(B256="","",IFERROR(INDEX(Leads!$C:$C,MATCH(B256,Leads!$A:$A,0)),"ID not found"))</f>
        <v/>
      </c>
      <c r="D256" s="11" t="str">
        <f aca="false">IF(B256="","",IFERROR(INDEX(Leads!$B:$B,MATCH(B256,Leads!$A:$A,0)),""))</f>
        <v/>
      </c>
      <c r="E256" s="36"/>
      <c r="F256" s="36"/>
      <c r="G256" s="36"/>
      <c r="H256" s="35"/>
      <c r="I256" s="36"/>
    </row>
    <row r="257" customFormat="false" ht="15" hidden="false" customHeight="false" outlineLevel="0" collapsed="false">
      <c r="A257" s="35"/>
      <c r="B257" s="36"/>
      <c r="C257" s="11" t="str">
        <f aca="false">IF(B257="","",IFERROR(INDEX(Leads!$C:$C,MATCH(B257,Leads!$A:$A,0)),"ID not found"))</f>
        <v/>
      </c>
      <c r="D257" s="11" t="str">
        <f aca="false">IF(B257="","",IFERROR(INDEX(Leads!$B:$B,MATCH(B257,Leads!$A:$A,0)),""))</f>
        <v/>
      </c>
      <c r="E257" s="36"/>
      <c r="F257" s="36"/>
      <c r="G257" s="36"/>
      <c r="H257" s="35"/>
      <c r="I257" s="36"/>
    </row>
    <row r="258" customFormat="false" ht="15" hidden="false" customHeight="false" outlineLevel="0" collapsed="false">
      <c r="A258" s="35"/>
      <c r="B258" s="36"/>
      <c r="C258" s="11" t="str">
        <f aca="false">IF(B258="","",IFERROR(INDEX(Leads!$C:$C,MATCH(B258,Leads!$A:$A,0)),"ID not found"))</f>
        <v/>
      </c>
      <c r="D258" s="11" t="str">
        <f aca="false">IF(B258="","",IFERROR(INDEX(Leads!$B:$B,MATCH(B258,Leads!$A:$A,0)),""))</f>
        <v/>
      </c>
      <c r="E258" s="36"/>
      <c r="F258" s="36"/>
      <c r="G258" s="36"/>
      <c r="H258" s="35"/>
      <c r="I258" s="36"/>
    </row>
    <row r="259" customFormat="false" ht="15" hidden="false" customHeight="false" outlineLevel="0" collapsed="false">
      <c r="A259" s="35"/>
      <c r="B259" s="36"/>
      <c r="C259" s="11" t="str">
        <f aca="false">IF(B259="","",IFERROR(INDEX(Leads!$C:$C,MATCH(B259,Leads!$A:$A,0)),"ID not found"))</f>
        <v/>
      </c>
      <c r="D259" s="11" t="str">
        <f aca="false">IF(B259="","",IFERROR(INDEX(Leads!$B:$B,MATCH(B259,Leads!$A:$A,0)),""))</f>
        <v/>
      </c>
      <c r="E259" s="36"/>
      <c r="F259" s="36"/>
      <c r="G259" s="36"/>
      <c r="H259" s="35"/>
      <c r="I259" s="36"/>
    </row>
    <row r="260" customFormat="false" ht="15" hidden="false" customHeight="false" outlineLevel="0" collapsed="false">
      <c r="A260" s="35"/>
      <c r="B260" s="36"/>
      <c r="C260" s="11" t="str">
        <f aca="false">IF(B260="","",IFERROR(INDEX(Leads!$C:$C,MATCH(B260,Leads!$A:$A,0)),"ID not found"))</f>
        <v/>
      </c>
      <c r="D260" s="11" t="str">
        <f aca="false">IF(B260="","",IFERROR(INDEX(Leads!$B:$B,MATCH(B260,Leads!$A:$A,0)),""))</f>
        <v/>
      </c>
      <c r="E260" s="36"/>
      <c r="F260" s="36"/>
      <c r="G260" s="36"/>
      <c r="H260" s="35"/>
      <c r="I260" s="36"/>
    </row>
    <row r="261" customFormat="false" ht="15" hidden="false" customHeight="false" outlineLevel="0" collapsed="false">
      <c r="A261" s="35"/>
      <c r="B261" s="36"/>
      <c r="C261" s="11" t="str">
        <f aca="false">IF(B261="","",IFERROR(INDEX(Leads!$C:$C,MATCH(B261,Leads!$A:$A,0)),"ID not found"))</f>
        <v/>
      </c>
      <c r="D261" s="11" t="str">
        <f aca="false">IF(B261="","",IFERROR(INDEX(Leads!$B:$B,MATCH(B261,Leads!$A:$A,0)),""))</f>
        <v/>
      </c>
      <c r="E261" s="36"/>
      <c r="F261" s="36"/>
      <c r="G261" s="36"/>
      <c r="H261" s="35"/>
      <c r="I261" s="36"/>
    </row>
    <row r="262" customFormat="false" ht="15" hidden="false" customHeight="false" outlineLevel="0" collapsed="false">
      <c r="A262" s="35"/>
      <c r="B262" s="36"/>
      <c r="C262" s="11" t="str">
        <f aca="false">IF(B262="","",IFERROR(INDEX(Leads!$C:$C,MATCH(B262,Leads!$A:$A,0)),"ID not found"))</f>
        <v/>
      </c>
      <c r="D262" s="11" t="str">
        <f aca="false">IF(B262="","",IFERROR(INDEX(Leads!$B:$B,MATCH(B262,Leads!$A:$A,0)),""))</f>
        <v/>
      </c>
      <c r="E262" s="36"/>
      <c r="F262" s="36"/>
      <c r="G262" s="36"/>
      <c r="H262" s="35"/>
      <c r="I262" s="36"/>
    </row>
    <row r="263" customFormat="false" ht="15" hidden="false" customHeight="false" outlineLevel="0" collapsed="false">
      <c r="A263" s="35"/>
      <c r="B263" s="36"/>
      <c r="C263" s="11" t="str">
        <f aca="false">IF(B263="","",IFERROR(INDEX(Leads!$C:$C,MATCH(B263,Leads!$A:$A,0)),"ID not found"))</f>
        <v/>
      </c>
      <c r="D263" s="11" t="str">
        <f aca="false">IF(B263="","",IFERROR(INDEX(Leads!$B:$B,MATCH(B263,Leads!$A:$A,0)),""))</f>
        <v/>
      </c>
      <c r="E263" s="36"/>
      <c r="F263" s="36"/>
      <c r="G263" s="36"/>
      <c r="H263" s="35"/>
      <c r="I263" s="36"/>
    </row>
    <row r="264" customFormat="false" ht="15" hidden="false" customHeight="false" outlineLevel="0" collapsed="false">
      <c r="A264" s="35"/>
      <c r="B264" s="36"/>
      <c r="C264" s="11" t="str">
        <f aca="false">IF(B264="","",IFERROR(INDEX(Leads!$C:$C,MATCH(B264,Leads!$A:$A,0)),"ID not found"))</f>
        <v/>
      </c>
      <c r="D264" s="11" t="str">
        <f aca="false">IF(B264="","",IFERROR(INDEX(Leads!$B:$B,MATCH(B264,Leads!$A:$A,0)),""))</f>
        <v/>
      </c>
      <c r="E264" s="36"/>
      <c r="F264" s="36"/>
      <c r="G264" s="36"/>
      <c r="H264" s="35"/>
      <c r="I264" s="36"/>
    </row>
    <row r="265" customFormat="false" ht="15" hidden="false" customHeight="false" outlineLevel="0" collapsed="false">
      <c r="A265" s="35"/>
      <c r="B265" s="36"/>
      <c r="C265" s="11" t="str">
        <f aca="false">IF(B265="","",IFERROR(INDEX(Leads!$C:$C,MATCH(B265,Leads!$A:$A,0)),"ID not found"))</f>
        <v/>
      </c>
      <c r="D265" s="11" t="str">
        <f aca="false">IF(B265="","",IFERROR(INDEX(Leads!$B:$B,MATCH(B265,Leads!$A:$A,0)),""))</f>
        <v/>
      </c>
      <c r="E265" s="36"/>
      <c r="F265" s="36"/>
      <c r="G265" s="36"/>
      <c r="H265" s="35"/>
      <c r="I265" s="36"/>
    </row>
    <row r="266" customFormat="false" ht="15" hidden="false" customHeight="false" outlineLevel="0" collapsed="false">
      <c r="A266" s="35"/>
      <c r="B266" s="36"/>
      <c r="C266" s="11" t="str">
        <f aca="false">IF(B266="","",IFERROR(INDEX(Leads!$C:$C,MATCH(B266,Leads!$A:$A,0)),"ID not found"))</f>
        <v/>
      </c>
      <c r="D266" s="11" t="str">
        <f aca="false">IF(B266="","",IFERROR(INDEX(Leads!$B:$B,MATCH(B266,Leads!$A:$A,0)),""))</f>
        <v/>
      </c>
      <c r="E266" s="36"/>
      <c r="F266" s="36"/>
      <c r="G266" s="36"/>
      <c r="H266" s="35"/>
      <c r="I266" s="36"/>
    </row>
    <row r="267" customFormat="false" ht="15" hidden="false" customHeight="false" outlineLevel="0" collapsed="false">
      <c r="A267" s="35"/>
      <c r="B267" s="36"/>
      <c r="C267" s="11" t="str">
        <f aca="false">IF(B267="","",IFERROR(INDEX(Leads!$C:$C,MATCH(B267,Leads!$A:$A,0)),"ID not found"))</f>
        <v/>
      </c>
      <c r="D267" s="11" t="str">
        <f aca="false">IF(B267="","",IFERROR(INDEX(Leads!$B:$B,MATCH(B267,Leads!$A:$A,0)),""))</f>
        <v/>
      </c>
      <c r="E267" s="36"/>
      <c r="F267" s="36"/>
      <c r="G267" s="36"/>
      <c r="H267" s="35"/>
      <c r="I267" s="36"/>
    </row>
    <row r="268" customFormat="false" ht="15" hidden="false" customHeight="false" outlineLevel="0" collapsed="false">
      <c r="A268" s="35"/>
      <c r="B268" s="36"/>
      <c r="C268" s="11" t="str">
        <f aca="false">IF(B268="","",IFERROR(INDEX(Leads!$C:$C,MATCH(B268,Leads!$A:$A,0)),"ID not found"))</f>
        <v/>
      </c>
      <c r="D268" s="11" t="str">
        <f aca="false">IF(B268="","",IFERROR(INDEX(Leads!$B:$B,MATCH(B268,Leads!$A:$A,0)),""))</f>
        <v/>
      </c>
      <c r="E268" s="36"/>
      <c r="F268" s="36"/>
      <c r="G268" s="36"/>
      <c r="H268" s="35"/>
      <c r="I268" s="36"/>
    </row>
    <row r="269" customFormat="false" ht="15" hidden="false" customHeight="false" outlineLevel="0" collapsed="false">
      <c r="A269" s="35"/>
      <c r="B269" s="36"/>
      <c r="C269" s="11" t="str">
        <f aca="false">IF(B269="","",IFERROR(INDEX(Leads!$C:$C,MATCH(B269,Leads!$A:$A,0)),"ID not found"))</f>
        <v/>
      </c>
      <c r="D269" s="11" t="str">
        <f aca="false">IF(B269="","",IFERROR(INDEX(Leads!$B:$B,MATCH(B269,Leads!$A:$A,0)),""))</f>
        <v/>
      </c>
      <c r="E269" s="36"/>
      <c r="F269" s="36"/>
      <c r="G269" s="36"/>
      <c r="H269" s="35"/>
      <c r="I269" s="36"/>
    </row>
    <row r="270" customFormat="false" ht="15" hidden="false" customHeight="false" outlineLevel="0" collapsed="false">
      <c r="A270" s="35"/>
      <c r="B270" s="36"/>
      <c r="C270" s="11" t="str">
        <f aca="false">IF(B270="","",IFERROR(INDEX(Leads!$C:$C,MATCH(B270,Leads!$A:$A,0)),"ID not found"))</f>
        <v/>
      </c>
      <c r="D270" s="11" t="str">
        <f aca="false">IF(B270="","",IFERROR(INDEX(Leads!$B:$B,MATCH(B270,Leads!$A:$A,0)),""))</f>
        <v/>
      </c>
      <c r="E270" s="36"/>
      <c r="F270" s="36"/>
      <c r="G270" s="36"/>
      <c r="H270" s="35"/>
      <c r="I270" s="36"/>
    </row>
    <row r="271" customFormat="false" ht="15" hidden="false" customHeight="false" outlineLevel="0" collapsed="false">
      <c r="A271" s="35"/>
      <c r="B271" s="36"/>
      <c r="C271" s="11" t="str">
        <f aca="false">IF(B271="","",IFERROR(INDEX(Leads!$C:$C,MATCH(B271,Leads!$A:$A,0)),"ID not found"))</f>
        <v/>
      </c>
      <c r="D271" s="11" t="str">
        <f aca="false">IF(B271="","",IFERROR(INDEX(Leads!$B:$B,MATCH(B271,Leads!$A:$A,0)),""))</f>
        <v/>
      </c>
      <c r="E271" s="36"/>
      <c r="F271" s="36"/>
      <c r="G271" s="36"/>
      <c r="H271" s="35"/>
      <c r="I271" s="36"/>
    </row>
    <row r="272" customFormat="false" ht="15" hidden="false" customHeight="false" outlineLevel="0" collapsed="false">
      <c r="A272" s="35"/>
      <c r="B272" s="36"/>
      <c r="C272" s="11" t="str">
        <f aca="false">IF(B272="","",IFERROR(INDEX(Leads!$C:$C,MATCH(B272,Leads!$A:$A,0)),"ID not found"))</f>
        <v/>
      </c>
      <c r="D272" s="11" t="str">
        <f aca="false">IF(B272="","",IFERROR(INDEX(Leads!$B:$B,MATCH(B272,Leads!$A:$A,0)),""))</f>
        <v/>
      </c>
      <c r="E272" s="36"/>
      <c r="F272" s="36"/>
      <c r="G272" s="36"/>
      <c r="H272" s="35"/>
      <c r="I272" s="36"/>
    </row>
    <row r="273" customFormat="false" ht="15" hidden="false" customHeight="false" outlineLevel="0" collapsed="false">
      <c r="A273" s="35"/>
      <c r="B273" s="36"/>
      <c r="C273" s="11" t="str">
        <f aca="false">IF(B273="","",IFERROR(INDEX(Leads!$C:$C,MATCH(B273,Leads!$A:$A,0)),"ID not found"))</f>
        <v/>
      </c>
      <c r="D273" s="11" t="str">
        <f aca="false">IF(B273="","",IFERROR(INDEX(Leads!$B:$B,MATCH(B273,Leads!$A:$A,0)),""))</f>
        <v/>
      </c>
      <c r="E273" s="36"/>
      <c r="F273" s="36"/>
      <c r="G273" s="36"/>
      <c r="H273" s="35"/>
      <c r="I273" s="36"/>
    </row>
    <row r="274" customFormat="false" ht="15" hidden="false" customHeight="false" outlineLevel="0" collapsed="false">
      <c r="A274" s="35"/>
      <c r="B274" s="36"/>
      <c r="C274" s="11" t="str">
        <f aca="false">IF(B274="","",IFERROR(INDEX(Leads!$C:$C,MATCH(B274,Leads!$A:$A,0)),"ID not found"))</f>
        <v/>
      </c>
      <c r="D274" s="11" t="str">
        <f aca="false">IF(B274="","",IFERROR(INDEX(Leads!$B:$B,MATCH(B274,Leads!$A:$A,0)),""))</f>
        <v/>
      </c>
      <c r="E274" s="36"/>
      <c r="F274" s="36"/>
      <c r="G274" s="36"/>
      <c r="H274" s="35"/>
      <c r="I274" s="36"/>
    </row>
    <row r="275" customFormat="false" ht="15" hidden="false" customHeight="false" outlineLevel="0" collapsed="false">
      <c r="A275" s="35"/>
      <c r="B275" s="36"/>
      <c r="C275" s="11" t="str">
        <f aca="false">IF(B275="","",IFERROR(INDEX(Leads!$C:$C,MATCH(B275,Leads!$A:$A,0)),"ID not found"))</f>
        <v/>
      </c>
      <c r="D275" s="11" t="str">
        <f aca="false">IF(B275="","",IFERROR(INDEX(Leads!$B:$B,MATCH(B275,Leads!$A:$A,0)),""))</f>
        <v/>
      </c>
      <c r="E275" s="36"/>
      <c r="F275" s="36"/>
      <c r="G275" s="36"/>
      <c r="H275" s="35"/>
      <c r="I275" s="36"/>
    </row>
    <row r="276" customFormat="false" ht="15" hidden="false" customHeight="false" outlineLevel="0" collapsed="false">
      <c r="A276" s="35"/>
      <c r="B276" s="36"/>
      <c r="C276" s="11" t="str">
        <f aca="false">IF(B276="","",IFERROR(INDEX(Leads!$C:$C,MATCH(B276,Leads!$A:$A,0)),"ID not found"))</f>
        <v/>
      </c>
      <c r="D276" s="11" t="str">
        <f aca="false">IF(B276="","",IFERROR(INDEX(Leads!$B:$B,MATCH(B276,Leads!$A:$A,0)),""))</f>
        <v/>
      </c>
      <c r="E276" s="36"/>
      <c r="F276" s="36"/>
      <c r="G276" s="36"/>
      <c r="H276" s="35"/>
      <c r="I276" s="36"/>
    </row>
    <row r="277" customFormat="false" ht="15" hidden="false" customHeight="false" outlineLevel="0" collapsed="false">
      <c r="A277" s="35"/>
      <c r="B277" s="36"/>
      <c r="C277" s="11" t="str">
        <f aca="false">IF(B277="","",IFERROR(INDEX(Leads!$C:$C,MATCH(B277,Leads!$A:$A,0)),"ID not found"))</f>
        <v/>
      </c>
      <c r="D277" s="11" t="str">
        <f aca="false">IF(B277="","",IFERROR(INDEX(Leads!$B:$B,MATCH(B277,Leads!$A:$A,0)),""))</f>
        <v/>
      </c>
      <c r="E277" s="36"/>
      <c r="F277" s="36"/>
      <c r="G277" s="36"/>
      <c r="H277" s="35"/>
      <c r="I277" s="36"/>
    </row>
    <row r="278" customFormat="false" ht="15" hidden="false" customHeight="false" outlineLevel="0" collapsed="false">
      <c r="A278" s="35"/>
      <c r="B278" s="36"/>
      <c r="C278" s="11" t="str">
        <f aca="false">IF(B278="","",IFERROR(INDEX(Leads!$C:$C,MATCH(B278,Leads!$A:$A,0)),"ID not found"))</f>
        <v/>
      </c>
      <c r="D278" s="11" t="str">
        <f aca="false">IF(B278="","",IFERROR(INDEX(Leads!$B:$B,MATCH(B278,Leads!$A:$A,0)),""))</f>
        <v/>
      </c>
      <c r="E278" s="36"/>
      <c r="F278" s="36"/>
      <c r="G278" s="36"/>
      <c r="H278" s="35"/>
      <c r="I278" s="36"/>
    </row>
    <row r="279" customFormat="false" ht="15" hidden="false" customHeight="false" outlineLevel="0" collapsed="false">
      <c r="A279" s="35"/>
      <c r="B279" s="36"/>
      <c r="C279" s="11" t="str">
        <f aca="false">IF(B279="","",IFERROR(INDEX(Leads!$C:$C,MATCH(B279,Leads!$A:$A,0)),"ID not found"))</f>
        <v/>
      </c>
      <c r="D279" s="11" t="str">
        <f aca="false">IF(B279="","",IFERROR(INDEX(Leads!$B:$B,MATCH(B279,Leads!$A:$A,0)),""))</f>
        <v/>
      </c>
      <c r="E279" s="36"/>
      <c r="F279" s="36"/>
      <c r="G279" s="36"/>
      <c r="H279" s="35"/>
      <c r="I279" s="36"/>
    </row>
    <row r="280" customFormat="false" ht="15" hidden="false" customHeight="false" outlineLevel="0" collapsed="false">
      <c r="A280" s="35"/>
      <c r="B280" s="36"/>
      <c r="C280" s="11" t="str">
        <f aca="false">IF(B280="","",IFERROR(INDEX(Leads!$C:$C,MATCH(B280,Leads!$A:$A,0)),"ID not found"))</f>
        <v/>
      </c>
      <c r="D280" s="11" t="str">
        <f aca="false">IF(B280="","",IFERROR(INDEX(Leads!$B:$B,MATCH(B280,Leads!$A:$A,0)),""))</f>
        <v/>
      </c>
      <c r="E280" s="36"/>
      <c r="F280" s="36"/>
      <c r="G280" s="36"/>
      <c r="H280" s="35"/>
      <c r="I280" s="36"/>
    </row>
    <row r="281" customFormat="false" ht="15" hidden="false" customHeight="false" outlineLevel="0" collapsed="false">
      <c r="A281" s="35"/>
      <c r="B281" s="36"/>
      <c r="C281" s="11" t="str">
        <f aca="false">IF(B281="","",IFERROR(INDEX(Leads!$C:$C,MATCH(B281,Leads!$A:$A,0)),"ID not found"))</f>
        <v/>
      </c>
      <c r="D281" s="11" t="str">
        <f aca="false">IF(B281="","",IFERROR(INDEX(Leads!$B:$B,MATCH(B281,Leads!$A:$A,0)),""))</f>
        <v/>
      </c>
      <c r="E281" s="36"/>
      <c r="F281" s="36"/>
      <c r="G281" s="36"/>
      <c r="H281" s="35"/>
      <c r="I281" s="36"/>
    </row>
    <row r="282" customFormat="false" ht="15" hidden="false" customHeight="false" outlineLevel="0" collapsed="false">
      <c r="A282" s="35"/>
      <c r="B282" s="36"/>
      <c r="C282" s="11" t="str">
        <f aca="false">IF(B282="","",IFERROR(INDEX(Leads!$C:$C,MATCH(B282,Leads!$A:$A,0)),"ID not found"))</f>
        <v/>
      </c>
      <c r="D282" s="11" t="str">
        <f aca="false">IF(B282="","",IFERROR(INDEX(Leads!$B:$B,MATCH(B282,Leads!$A:$A,0)),""))</f>
        <v/>
      </c>
      <c r="E282" s="36"/>
      <c r="F282" s="36"/>
      <c r="G282" s="36"/>
      <c r="H282" s="35"/>
      <c r="I282" s="36"/>
    </row>
    <row r="283" customFormat="false" ht="15" hidden="false" customHeight="false" outlineLevel="0" collapsed="false">
      <c r="A283" s="35"/>
      <c r="B283" s="36"/>
      <c r="C283" s="11" t="str">
        <f aca="false">IF(B283="","",IFERROR(INDEX(Leads!$C:$C,MATCH(B283,Leads!$A:$A,0)),"ID not found"))</f>
        <v/>
      </c>
      <c r="D283" s="11" t="str">
        <f aca="false">IF(B283="","",IFERROR(INDEX(Leads!$B:$B,MATCH(B283,Leads!$A:$A,0)),""))</f>
        <v/>
      </c>
      <c r="E283" s="36"/>
      <c r="F283" s="36"/>
      <c r="G283" s="36"/>
      <c r="H283" s="35"/>
      <c r="I283" s="36"/>
    </row>
    <row r="284" customFormat="false" ht="15" hidden="false" customHeight="false" outlineLevel="0" collapsed="false">
      <c r="A284" s="35"/>
      <c r="B284" s="36"/>
      <c r="C284" s="11" t="str">
        <f aca="false">IF(B284="","",IFERROR(INDEX(Leads!$C:$C,MATCH(B284,Leads!$A:$A,0)),"ID not found"))</f>
        <v/>
      </c>
      <c r="D284" s="11" t="str">
        <f aca="false">IF(B284="","",IFERROR(INDEX(Leads!$B:$B,MATCH(B284,Leads!$A:$A,0)),""))</f>
        <v/>
      </c>
      <c r="E284" s="36"/>
      <c r="F284" s="36"/>
      <c r="G284" s="36"/>
      <c r="H284" s="35"/>
      <c r="I284" s="36"/>
    </row>
    <row r="285" customFormat="false" ht="15" hidden="false" customHeight="false" outlineLevel="0" collapsed="false">
      <c r="A285" s="35"/>
      <c r="B285" s="36"/>
      <c r="C285" s="11" t="str">
        <f aca="false">IF(B285="","",IFERROR(INDEX(Leads!$C:$C,MATCH(B285,Leads!$A:$A,0)),"ID not found"))</f>
        <v/>
      </c>
      <c r="D285" s="11" t="str">
        <f aca="false">IF(B285="","",IFERROR(INDEX(Leads!$B:$B,MATCH(B285,Leads!$A:$A,0)),""))</f>
        <v/>
      </c>
      <c r="E285" s="36"/>
      <c r="F285" s="36"/>
      <c r="G285" s="36"/>
      <c r="H285" s="35"/>
      <c r="I285" s="36"/>
    </row>
    <row r="286" customFormat="false" ht="15" hidden="false" customHeight="false" outlineLevel="0" collapsed="false">
      <c r="A286" s="35"/>
      <c r="B286" s="36"/>
      <c r="C286" s="11" t="str">
        <f aca="false">IF(B286="","",IFERROR(INDEX(Leads!$C:$C,MATCH(B286,Leads!$A:$A,0)),"ID not found"))</f>
        <v/>
      </c>
      <c r="D286" s="11" t="str">
        <f aca="false">IF(B286="","",IFERROR(INDEX(Leads!$B:$B,MATCH(B286,Leads!$A:$A,0)),""))</f>
        <v/>
      </c>
      <c r="E286" s="36"/>
      <c r="F286" s="36"/>
      <c r="G286" s="36"/>
      <c r="H286" s="35"/>
      <c r="I286" s="36"/>
    </row>
    <row r="287" customFormat="false" ht="15" hidden="false" customHeight="false" outlineLevel="0" collapsed="false">
      <c r="A287" s="35"/>
      <c r="B287" s="36"/>
      <c r="C287" s="11" t="str">
        <f aca="false">IF(B287="","",IFERROR(INDEX(Leads!$C:$C,MATCH(B287,Leads!$A:$A,0)),"ID not found"))</f>
        <v/>
      </c>
      <c r="D287" s="11" t="str">
        <f aca="false">IF(B287="","",IFERROR(INDEX(Leads!$B:$B,MATCH(B287,Leads!$A:$A,0)),""))</f>
        <v/>
      </c>
      <c r="E287" s="36"/>
      <c r="F287" s="36"/>
      <c r="G287" s="36"/>
      <c r="H287" s="35"/>
      <c r="I287" s="36"/>
    </row>
    <row r="288" customFormat="false" ht="15" hidden="false" customHeight="false" outlineLevel="0" collapsed="false">
      <c r="A288" s="35"/>
      <c r="B288" s="36"/>
      <c r="C288" s="11" t="str">
        <f aca="false">IF(B288="","",IFERROR(INDEX(Leads!$C:$C,MATCH(B288,Leads!$A:$A,0)),"ID not found"))</f>
        <v/>
      </c>
      <c r="D288" s="11" t="str">
        <f aca="false">IF(B288="","",IFERROR(INDEX(Leads!$B:$B,MATCH(B288,Leads!$A:$A,0)),""))</f>
        <v/>
      </c>
      <c r="E288" s="36"/>
      <c r="F288" s="36"/>
      <c r="G288" s="36"/>
      <c r="H288" s="35"/>
      <c r="I288" s="36"/>
    </row>
    <row r="289" customFormat="false" ht="15" hidden="false" customHeight="false" outlineLevel="0" collapsed="false">
      <c r="A289" s="35"/>
      <c r="B289" s="36"/>
      <c r="C289" s="11" t="str">
        <f aca="false">IF(B289="","",IFERROR(INDEX(Leads!$C:$C,MATCH(B289,Leads!$A:$A,0)),"ID not found"))</f>
        <v/>
      </c>
      <c r="D289" s="11" t="str">
        <f aca="false">IF(B289="","",IFERROR(INDEX(Leads!$B:$B,MATCH(B289,Leads!$A:$A,0)),""))</f>
        <v/>
      </c>
      <c r="E289" s="36"/>
      <c r="F289" s="36"/>
      <c r="G289" s="36"/>
      <c r="H289" s="35"/>
      <c r="I289" s="36"/>
    </row>
    <row r="290" customFormat="false" ht="15" hidden="false" customHeight="false" outlineLevel="0" collapsed="false">
      <c r="A290" s="35"/>
      <c r="B290" s="36"/>
      <c r="C290" s="11" t="str">
        <f aca="false">IF(B290="","",IFERROR(INDEX(Leads!$C:$C,MATCH(B290,Leads!$A:$A,0)),"ID not found"))</f>
        <v/>
      </c>
      <c r="D290" s="11" t="str">
        <f aca="false">IF(B290="","",IFERROR(INDEX(Leads!$B:$B,MATCH(B290,Leads!$A:$A,0)),""))</f>
        <v/>
      </c>
      <c r="E290" s="36"/>
      <c r="F290" s="36"/>
      <c r="G290" s="36"/>
      <c r="H290" s="35"/>
      <c r="I290" s="36"/>
    </row>
    <row r="291" customFormat="false" ht="15" hidden="false" customHeight="false" outlineLevel="0" collapsed="false">
      <c r="A291" s="35"/>
      <c r="B291" s="36"/>
      <c r="C291" s="11" t="str">
        <f aca="false">IF(B291="","",IFERROR(INDEX(Leads!$C:$C,MATCH(B291,Leads!$A:$A,0)),"ID not found"))</f>
        <v/>
      </c>
      <c r="D291" s="11" t="str">
        <f aca="false">IF(B291="","",IFERROR(INDEX(Leads!$B:$B,MATCH(B291,Leads!$A:$A,0)),""))</f>
        <v/>
      </c>
      <c r="E291" s="36"/>
      <c r="F291" s="36"/>
      <c r="G291" s="36"/>
      <c r="H291" s="35"/>
      <c r="I291" s="36"/>
    </row>
    <row r="292" customFormat="false" ht="15" hidden="false" customHeight="false" outlineLevel="0" collapsed="false">
      <c r="A292" s="35"/>
      <c r="B292" s="36"/>
      <c r="C292" s="11" t="str">
        <f aca="false">IF(B292="","",IFERROR(INDEX(Leads!$C:$C,MATCH(B292,Leads!$A:$A,0)),"ID not found"))</f>
        <v/>
      </c>
      <c r="D292" s="11" t="str">
        <f aca="false">IF(B292="","",IFERROR(INDEX(Leads!$B:$B,MATCH(B292,Leads!$A:$A,0)),""))</f>
        <v/>
      </c>
      <c r="E292" s="36"/>
      <c r="F292" s="36"/>
      <c r="G292" s="36"/>
      <c r="H292" s="35"/>
      <c r="I292" s="36"/>
    </row>
    <row r="293" customFormat="false" ht="15" hidden="false" customHeight="false" outlineLevel="0" collapsed="false">
      <c r="A293" s="35"/>
      <c r="B293" s="36"/>
      <c r="C293" s="11" t="str">
        <f aca="false">IF(B293="","",IFERROR(INDEX(Leads!$C:$C,MATCH(B293,Leads!$A:$A,0)),"ID not found"))</f>
        <v/>
      </c>
      <c r="D293" s="11" t="str">
        <f aca="false">IF(B293="","",IFERROR(INDEX(Leads!$B:$B,MATCH(B293,Leads!$A:$A,0)),""))</f>
        <v/>
      </c>
      <c r="E293" s="36"/>
      <c r="F293" s="36"/>
      <c r="G293" s="36"/>
      <c r="H293" s="35"/>
      <c r="I293" s="36"/>
    </row>
    <row r="294" customFormat="false" ht="15" hidden="false" customHeight="false" outlineLevel="0" collapsed="false">
      <c r="A294" s="35"/>
      <c r="B294" s="36"/>
      <c r="C294" s="11" t="str">
        <f aca="false">IF(B294="","",IFERROR(INDEX(Leads!$C:$C,MATCH(B294,Leads!$A:$A,0)),"ID not found"))</f>
        <v/>
      </c>
      <c r="D294" s="11" t="str">
        <f aca="false">IF(B294="","",IFERROR(INDEX(Leads!$B:$B,MATCH(B294,Leads!$A:$A,0)),""))</f>
        <v/>
      </c>
      <c r="E294" s="36"/>
      <c r="F294" s="36"/>
      <c r="G294" s="36"/>
      <c r="H294" s="35"/>
      <c r="I294" s="36"/>
    </row>
    <row r="295" customFormat="false" ht="15" hidden="false" customHeight="false" outlineLevel="0" collapsed="false">
      <c r="A295" s="35"/>
      <c r="B295" s="36"/>
      <c r="C295" s="11" t="str">
        <f aca="false">IF(B295="","",IFERROR(INDEX(Leads!$C:$C,MATCH(B295,Leads!$A:$A,0)),"ID not found"))</f>
        <v/>
      </c>
      <c r="D295" s="11" t="str">
        <f aca="false">IF(B295="","",IFERROR(INDEX(Leads!$B:$B,MATCH(B295,Leads!$A:$A,0)),""))</f>
        <v/>
      </c>
      <c r="E295" s="36"/>
      <c r="F295" s="36"/>
      <c r="G295" s="36"/>
      <c r="H295" s="35"/>
      <c r="I295" s="36"/>
    </row>
    <row r="296" customFormat="false" ht="15" hidden="false" customHeight="false" outlineLevel="0" collapsed="false">
      <c r="A296" s="35"/>
      <c r="B296" s="36"/>
      <c r="C296" s="11" t="str">
        <f aca="false">IF(B296="","",IFERROR(INDEX(Leads!$C:$C,MATCH(B296,Leads!$A:$A,0)),"ID not found"))</f>
        <v/>
      </c>
      <c r="D296" s="11" t="str">
        <f aca="false">IF(B296="","",IFERROR(INDEX(Leads!$B:$B,MATCH(B296,Leads!$A:$A,0)),""))</f>
        <v/>
      </c>
      <c r="E296" s="36"/>
      <c r="F296" s="36"/>
      <c r="G296" s="36"/>
      <c r="H296" s="35"/>
      <c r="I296" s="36"/>
    </row>
    <row r="297" customFormat="false" ht="15" hidden="false" customHeight="false" outlineLevel="0" collapsed="false">
      <c r="A297" s="35"/>
      <c r="B297" s="36"/>
      <c r="C297" s="11" t="str">
        <f aca="false">IF(B297="","",IFERROR(INDEX(Leads!$C:$C,MATCH(B297,Leads!$A:$A,0)),"ID not found"))</f>
        <v/>
      </c>
      <c r="D297" s="11" t="str">
        <f aca="false">IF(B297="","",IFERROR(INDEX(Leads!$B:$B,MATCH(B297,Leads!$A:$A,0)),""))</f>
        <v/>
      </c>
      <c r="E297" s="36"/>
      <c r="F297" s="36"/>
      <c r="G297" s="36"/>
      <c r="H297" s="35"/>
      <c r="I297" s="36"/>
    </row>
    <row r="298" customFormat="false" ht="15" hidden="false" customHeight="false" outlineLevel="0" collapsed="false">
      <c r="A298" s="35"/>
      <c r="B298" s="36"/>
      <c r="C298" s="11" t="str">
        <f aca="false">IF(B298="","",IFERROR(INDEX(Leads!$C:$C,MATCH(B298,Leads!$A:$A,0)),"ID not found"))</f>
        <v/>
      </c>
      <c r="D298" s="11" t="str">
        <f aca="false">IF(B298="","",IFERROR(INDEX(Leads!$B:$B,MATCH(B298,Leads!$A:$A,0)),""))</f>
        <v/>
      </c>
      <c r="E298" s="36"/>
      <c r="F298" s="36"/>
      <c r="G298" s="36"/>
      <c r="H298" s="35"/>
      <c r="I298" s="36"/>
    </row>
    <row r="299" customFormat="false" ht="15" hidden="false" customHeight="false" outlineLevel="0" collapsed="false">
      <c r="A299" s="35"/>
      <c r="B299" s="36"/>
      <c r="C299" s="11" t="str">
        <f aca="false">IF(B299="","",IFERROR(INDEX(Leads!$C:$C,MATCH(B299,Leads!$A:$A,0)),"ID not found"))</f>
        <v/>
      </c>
      <c r="D299" s="11" t="str">
        <f aca="false">IF(B299="","",IFERROR(INDEX(Leads!$B:$B,MATCH(B299,Leads!$A:$A,0)),""))</f>
        <v/>
      </c>
      <c r="E299" s="36"/>
      <c r="F299" s="36"/>
      <c r="G299" s="36"/>
      <c r="H299" s="35"/>
      <c r="I299" s="36"/>
    </row>
    <row r="300" customFormat="false" ht="15" hidden="false" customHeight="false" outlineLevel="0" collapsed="false">
      <c r="A300" s="35"/>
      <c r="B300" s="36"/>
      <c r="C300" s="11" t="str">
        <f aca="false">IF(B300="","",IFERROR(INDEX(Leads!$C:$C,MATCH(B300,Leads!$A:$A,0)),"ID not found"))</f>
        <v/>
      </c>
      <c r="D300" s="11" t="str">
        <f aca="false">IF(B300="","",IFERROR(INDEX(Leads!$B:$B,MATCH(B300,Leads!$A:$A,0)),""))</f>
        <v/>
      </c>
      <c r="E300" s="36"/>
      <c r="F300" s="36"/>
      <c r="G300" s="36"/>
      <c r="H300" s="35"/>
      <c r="I300" s="36"/>
    </row>
    <row r="301" customFormat="false" ht="15" hidden="false" customHeight="false" outlineLevel="0" collapsed="false">
      <c r="A301" s="35"/>
      <c r="B301" s="36"/>
      <c r="C301" s="11" t="str">
        <f aca="false">IF(B301="","",IFERROR(INDEX(Leads!$C:$C,MATCH(B301,Leads!$A:$A,0)),"ID not found"))</f>
        <v/>
      </c>
      <c r="D301" s="11" t="str">
        <f aca="false">IF(B301="","",IFERROR(INDEX(Leads!$B:$B,MATCH(B301,Leads!$A:$A,0)),""))</f>
        <v/>
      </c>
      <c r="E301" s="36"/>
      <c r="F301" s="36"/>
      <c r="G301" s="36"/>
      <c r="H301" s="35"/>
      <c r="I301" s="36"/>
    </row>
    <row r="302" customFormat="false" ht="15" hidden="false" customHeight="false" outlineLevel="0" collapsed="false">
      <c r="A302" s="35"/>
      <c r="B302" s="36"/>
      <c r="C302" s="11" t="str">
        <f aca="false">IF(B302="","",IFERROR(INDEX(Leads!$C:$C,MATCH(B302,Leads!$A:$A,0)),"ID not found"))</f>
        <v/>
      </c>
      <c r="D302" s="11" t="str">
        <f aca="false">IF(B302="","",IFERROR(INDEX(Leads!$B:$B,MATCH(B302,Leads!$A:$A,0)),""))</f>
        <v/>
      </c>
      <c r="E302" s="36"/>
      <c r="F302" s="36"/>
      <c r="G302" s="36"/>
      <c r="H302" s="35"/>
      <c r="I302" s="36"/>
    </row>
    <row r="303" customFormat="false" ht="15" hidden="false" customHeight="false" outlineLevel="0" collapsed="false">
      <c r="A303" s="35"/>
      <c r="B303" s="36"/>
      <c r="C303" s="11" t="str">
        <f aca="false">IF(B303="","",IFERROR(INDEX(Leads!$C:$C,MATCH(B303,Leads!$A:$A,0)),"ID not found"))</f>
        <v/>
      </c>
      <c r="D303" s="11" t="str">
        <f aca="false">IF(B303="","",IFERROR(INDEX(Leads!$B:$B,MATCH(B303,Leads!$A:$A,0)),""))</f>
        <v/>
      </c>
      <c r="E303" s="36"/>
      <c r="F303" s="36"/>
      <c r="G303" s="36"/>
      <c r="H303" s="35"/>
      <c r="I303" s="36"/>
    </row>
    <row r="304" customFormat="false" ht="15" hidden="false" customHeight="false" outlineLevel="0" collapsed="false">
      <c r="A304" s="35"/>
      <c r="B304" s="36"/>
      <c r="C304" s="11" t="str">
        <f aca="false">IF(B304="","",IFERROR(INDEX(Leads!$C:$C,MATCH(B304,Leads!$A:$A,0)),"ID not found"))</f>
        <v/>
      </c>
      <c r="D304" s="11" t="str">
        <f aca="false">IF(B304="","",IFERROR(INDEX(Leads!$B:$B,MATCH(B304,Leads!$A:$A,0)),""))</f>
        <v/>
      </c>
      <c r="E304" s="36"/>
      <c r="F304" s="36"/>
      <c r="G304" s="36"/>
      <c r="H304" s="35"/>
      <c r="I304" s="36"/>
    </row>
    <row r="305" customFormat="false" ht="15" hidden="false" customHeight="false" outlineLevel="0" collapsed="false">
      <c r="A305" s="35"/>
      <c r="B305" s="36"/>
      <c r="C305" s="11" t="str">
        <f aca="false">IF(B305="","",IFERROR(INDEX(Leads!$C:$C,MATCH(B305,Leads!$A:$A,0)),"ID not found"))</f>
        <v/>
      </c>
      <c r="D305" s="11" t="str">
        <f aca="false">IF(B305="","",IFERROR(INDEX(Leads!$B:$B,MATCH(B305,Leads!$A:$A,0)),""))</f>
        <v/>
      </c>
      <c r="E305" s="36"/>
      <c r="F305" s="36"/>
      <c r="G305" s="36"/>
      <c r="H305" s="35"/>
      <c r="I305" s="36"/>
    </row>
    <row r="306" customFormat="false" ht="15" hidden="false" customHeight="false" outlineLevel="0" collapsed="false">
      <c r="A306" s="35"/>
      <c r="B306" s="36"/>
      <c r="C306" s="11" t="str">
        <f aca="false">IF(B306="","",IFERROR(INDEX(Leads!$C:$C,MATCH(B306,Leads!$A:$A,0)),"ID not found"))</f>
        <v/>
      </c>
      <c r="D306" s="11" t="str">
        <f aca="false">IF(B306="","",IFERROR(INDEX(Leads!$B:$B,MATCH(B306,Leads!$A:$A,0)),""))</f>
        <v/>
      </c>
      <c r="E306" s="36"/>
      <c r="F306" s="36"/>
      <c r="G306" s="36"/>
      <c r="H306" s="35"/>
      <c r="I306" s="36"/>
    </row>
    <row r="307" customFormat="false" ht="15" hidden="false" customHeight="false" outlineLevel="0" collapsed="false">
      <c r="A307" s="35"/>
      <c r="B307" s="36"/>
      <c r="C307" s="11" t="str">
        <f aca="false">IF(B307="","",IFERROR(INDEX(Leads!$C:$C,MATCH(B307,Leads!$A:$A,0)),"ID not found"))</f>
        <v/>
      </c>
      <c r="D307" s="11" t="str">
        <f aca="false">IF(B307="","",IFERROR(INDEX(Leads!$B:$B,MATCH(B307,Leads!$A:$A,0)),""))</f>
        <v/>
      </c>
      <c r="E307" s="36"/>
      <c r="F307" s="36"/>
      <c r="G307" s="36"/>
      <c r="H307" s="35"/>
      <c r="I307" s="36"/>
    </row>
    <row r="308" customFormat="false" ht="15" hidden="false" customHeight="false" outlineLevel="0" collapsed="false">
      <c r="A308" s="35"/>
      <c r="B308" s="36"/>
      <c r="C308" s="11" t="str">
        <f aca="false">IF(B308="","",IFERROR(INDEX(Leads!$C:$C,MATCH(B308,Leads!$A:$A,0)),"ID not found"))</f>
        <v/>
      </c>
      <c r="D308" s="11" t="str">
        <f aca="false">IF(B308="","",IFERROR(INDEX(Leads!$B:$B,MATCH(B308,Leads!$A:$A,0)),""))</f>
        <v/>
      </c>
      <c r="E308" s="36"/>
      <c r="F308" s="36"/>
      <c r="G308" s="36"/>
      <c r="H308" s="35"/>
      <c r="I308" s="36"/>
    </row>
    <row r="309" customFormat="false" ht="15" hidden="false" customHeight="false" outlineLevel="0" collapsed="false">
      <c r="A309" s="35"/>
      <c r="B309" s="36"/>
      <c r="C309" s="11" t="str">
        <f aca="false">IF(B309="","",IFERROR(INDEX(Leads!$C:$C,MATCH(B309,Leads!$A:$A,0)),"ID not found"))</f>
        <v/>
      </c>
      <c r="D309" s="11" t="str">
        <f aca="false">IF(B309="","",IFERROR(INDEX(Leads!$B:$B,MATCH(B309,Leads!$A:$A,0)),""))</f>
        <v/>
      </c>
      <c r="E309" s="36"/>
      <c r="F309" s="36"/>
      <c r="G309" s="36"/>
      <c r="H309" s="35"/>
      <c r="I309" s="36"/>
    </row>
    <row r="310" customFormat="false" ht="15" hidden="false" customHeight="false" outlineLevel="0" collapsed="false">
      <c r="A310" s="35"/>
      <c r="B310" s="36"/>
      <c r="C310" s="11" t="str">
        <f aca="false">IF(B310="","",IFERROR(INDEX(Leads!$C:$C,MATCH(B310,Leads!$A:$A,0)),"ID not found"))</f>
        <v/>
      </c>
      <c r="D310" s="11" t="str">
        <f aca="false">IF(B310="","",IFERROR(INDEX(Leads!$B:$B,MATCH(B310,Leads!$A:$A,0)),""))</f>
        <v/>
      </c>
      <c r="E310" s="36"/>
      <c r="F310" s="36"/>
      <c r="G310" s="36"/>
      <c r="H310" s="35"/>
      <c r="I310" s="36"/>
    </row>
    <row r="311" customFormat="false" ht="15" hidden="false" customHeight="false" outlineLevel="0" collapsed="false">
      <c r="A311" s="35"/>
      <c r="B311" s="36"/>
      <c r="C311" s="11" t="str">
        <f aca="false">IF(B311="","",IFERROR(INDEX(Leads!$C:$C,MATCH(B311,Leads!$A:$A,0)),"ID not found"))</f>
        <v/>
      </c>
      <c r="D311" s="11" t="str">
        <f aca="false">IF(B311="","",IFERROR(INDEX(Leads!$B:$B,MATCH(B311,Leads!$A:$A,0)),""))</f>
        <v/>
      </c>
      <c r="E311" s="36"/>
      <c r="F311" s="36"/>
      <c r="G311" s="36"/>
      <c r="H311" s="35"/>
      <c r="I311" s="36"/>
    </row>
    <row r="312" customFormat="false" ht="15" hidden="false" customHeight="false" outlineLevel="0" collapsed="false">
      <c r="A312" s="35"/>
      <c r="B312" s="36"/>
      <c r="C312" s="11" t="str">
        <f aca="false">IF(B312="","",IFERROR(INDEX(Leads!$C:$C,MATCH(B312,Leads!$A:$A,0)),"ID not found"))</f>
        <v/>
      </c>
      <c r="D312" s="11" t="str">
        <f aca="false">IF(B312="","",IFERROR(INDEX(Leads!$B:$B,MATCH(B312,Leads!$A:$A,0)),""))</f>
        <v/>
      </c>
      <c r="E312" s="36"/>
      <c r="F312" s="36"/>
      <c r="G312" s="36"/>
      <c r="H312" s="35"/>
      <c r="I312" s="36"/>
    </row>
    <row r="313" customFormat="false" ht="15" hidden="false" customHeight="false" outlineLevel="0" collapsed="false">
      <c r="A313" s="35"/>
      <c r="B313" s="36"/>
      <c r="C313" s="11" t="str">
        <f aca="false">IF(B313="","",IFERROR(INDEX(Leads!$C:$C,MATCH(B313,Leads!$A:$A,0)),"ID not found"))</f>
        <v/>
      </c>
      <c r="D313" s="11" t="str">
        <f aca="false">IF(B313="","",IFERROR(INDEX(Leads!$B:$B,MATCH(B313,Leads!$A:$A,0)),""))</f>
        <v/>
      </c>
      <c r="E313" s="36"/>
      <c r="F313" s="36"/>
      <c r="G313" s="36"/>
      <c r="H313" s="35"/>
      <c r="I313" s="36"/>
    </row>
    <row r="314" customFormat="false" ht="15" hidden="false" customHeight="false" outlineLevel="0" collapsed="false">
      <c r="A314" s="35"/>
      <c r="B314" s="36"/>
      <c r="C314" s="11" t="str">
        <f aca="false">IF(B314="","",IFERROR(INDEX(Leads!$C:$C,MATCH(B314,Leads!$A:$A,0)),"ID not found"))</f>
        <v/>
      </c>
      <c r="D314" s="11" t="str">
        <f aca="false">IF(B314="","",IFERROR(INDEX(Leads!$B:$B,MATCH(B314,Leads!$A:$A,0)),""))</f>
        <v/>
      </c>
      <c r="E314" s="36"/>
      <c r="F314" s="36"/>
      <c r="G314" s="36"/>
      <c r="H314" s="35"/>
      <c r="I314" s="36"/>
    </row>
    <row r="315" customFormat="false" ht="15" hidden="false" customHeight="false" outlineLevel="0" collapsed="false">
      <c r="A315" s="35"/>
      <c r="B315" s="36"/>
      <c r="C315" s="11" t="str">
        <f aca="false">IF(B315="","",IFERROR(INDEX(Leads!$C:$C,MATCH(B315,Leads!$A:$A,0)),"ID not found"))</f>
        <v/>
      </c>
      <c r="D315" s="11" t="str">
        <f aca="false">IF(B315="","",IFERROR(INDEX(Leads!$B:$B,MATCH(B315,Leads!$A:$A,0)),""))</f>
        <v/>
      </c>
      <c r="E315" s="36"/>
      <c r="F315" s="36"/>
      <c r="G315" s="36"/>
      <c r="H315" s="35"/>
      <c r="I315" s="36"/>
    </row>
    <row r="316" customFormat="false" ht="15" hidden="false" customHeight="false" outlineLevel="0" collapsed="false">
      <c r="A316" s="35"/>
      <c r="B316" s="36"/>
      <c r="C316" s="11" t="str">
        <f aca="false">IF(B316="","",IFERROR(INDEX(Leads!$C:$C,MATCH(B316,Leads!$A:$A,0)),"ID not found"))</f>
        <v/>
      </c>
      <c r="D316" s="11" t="str">
        <f aca="false">IF(B316="","",IFERROR(INDEX(Leads!$B:$B,MATCH(B316,Leads!$A:$A,0)),""))</f>
        <v/>
      </c>
      <c r="E316" s="36"/>
      <c r="F316" s="36"/>
      <c r="G316" s="36"/>
      <c r="H316" s="35"/>
      <c r="I316" s="36"/>
    </row>
    <row r="317" customFormat="false" ht="15" hidden="false" customHeight="false" outlineLevel="0" collapsed="false">
      <c r="A317" s="35"/>
      <c r="B317" s="36"/>
      <c r="C317" s="11" t="str">
        <f aca="false">IF(B317="","",IFERROR(INDEX(Leads!$C:$C,MATCH(B317,Leads!$A:$A,0)),"ID not found"))</f>
        <v/>
      </c>
      <c r="D317" s="11" t="str">
        <f aca="false">IF(B317="","",IFERROR(INDEX(Leads!$B:$B,MATCH(B317,Leads!$A:$A,0)),""))</f>
        <v/>
      </c>
      <c r="E317" s="36"/>
      <c r="F317" s="36"/>
      <c r="G317" s="36"/>
      <c r="H317" s="35"/>
      <c r="I317" s="36"/>
    </row>
    <row r="318" customFormat="false" ht="15" hidden="false" customHeight="false" outlineLevel="0" collapsed="false">
      <c r="A318" s="35"/>
      <c r="B318" s="36"/>
      <c r="C318" s="11" t="str">
        <f aca="false">IF(B318="","",IFERROR(INDEX(Leads!$C:$C,MATCH(B318,Leads!$A:$A,0)),"ID not found"))</f>
        <v/>
      </c>
      <c r="D318" s="11" t="str">
        <f aca="false">IF(B318="","",IFERROR(INDEX(Leads!$B:$B,MATCH(B318,Leads!$A:$A,0)),""))</f>
        <v/>
      </c>
      <c r="E318" s="36"/>
      <c r="F318" s="36"/>
      <c r="G318" s="36"/>
      <c r="H318" s="35"/>
      <c r="I318" s="36"/>
    </row>
    <row r="319" customFormat="false" ht="15" hidden="false" customHeight="false" outlineLevel="0" collapsed="false">
      <c r="A319" s="35"/>
      <c r="B319" s="36"/>
      <c r="C319" s="11" t="str">
        <f aca="false">IF(B319="","",IFERROR(INDEX(Leads!$C:$C,MATCH(B319,Leads!$A:$A,0)),"ID not found"))</f>
        <v/>
      </c>
      <c r="D319" s="11" t="str">
        <f aca="false">IF(B319="","",IFERROR(INDEX(Leads!$B:$B,MATCH(B319,Leads!$A:$A,0)),""))</f>
        <v/>
      </c>
      <c r="E319" s="36"/>
      <c r="F319" s="36"/>
      <c r="G319" s="36"/>
      <c r="H319" s="35"/>
      <c r="I319" s="36"/>
    </row>
    <row r="320" customFormat="false" ht="15" hidden="false" customHeight="false" outlineLevel="0" collapsed="false">
      <c r="A320" s="35"/>
      <c r="B320" s="36"/>
      <c r="C320" s="11" t="str">
        <f aca="false">IF(B320="","",IFERROR(INDEX(Leads!$C:$C,MATCH(B320,Leads!$A:$A,0)),"ID not found"))</f>
        <v/>
      </c>
      <c r="D320" s="11" t="str">
        <f aca="false">IF(B320="","",IFERROR(INDEX(Leads!$B:$B,MATCH(B320,Leads!$A:$A,0)),""))</f>
        <v/>
      </c>
      <c r="E320" s="36"/>
      <c r="F320" s="36"/>
      <c r="G320" s="36"/>
      <c r="H320" s="35"/>
      <c r="I320" s="36"/>
    </row>
    <row r="321" customFormat="false" ht="15" hidden="false" customHeight="false" outlineLevel="0" collapsed="false">
      <c r="A321" s="35"/>
      <c r="B321" s="36"/>
      <c r="C321" s="11" t="str">
        <f aca="false">IF(B321="","",IFERROR(INDEX(Leads!$C:$C,MATCH(B321,Leads!$A:$A,0)),"ID not found"))</f>
        <v/>
      </c>
      <c r="D321" s="11" t="str">
        <f aca="false">IF(B321="","",IFERROR(INDEX(Leads!$B:$B,MATCH(B321,Leads!$A:$A,0)),""))</f>
        <v/>
      </c>
      <c r="E321" s="36"/>
      <c r="F321" s="36"/>
      <c r="G321" s="36"/>
      <c r="H321" s="35"/>
      <c r="I321" s="36"/>
    </row>
    <row r="322" customFormat="false" ht="15" hidden="false" customHeight="false" outlineLevel="0" collapsed="false">
      <c r="A322" s="35"/>
      <c r="B322" s="36"/>
      <c r="C322" s="11" t="str">
        <f aca="false">IF(B322="","",IFERROR(INDEX(Leads!$C:$C,MATCH(B322,Leads!$A:$A,0)),"ID not found"))</f>
        <v/>
      </c>
      <c r="D322" s="11" t="str">
        <f aca="false">IF(B322="","",IFERROR(INDEX(Leads!$B:$B,MATCH(B322,Leads!$A:$A,0)),""))</f>
        <v/>
      </c>
      <c r="E322" s="36"/>
      <c r="F322" s="36"/>
      <c r="G322" s="36"/>
      <c r="H322" s="35"/>
      <c r="I322" s="36"/>
    </row>
    <row r="323" customFormat="false" ht="15" hidden="false" customHeight="false" outlineLevel="0" collapsed="false">
      <c r="A323" s="35"/>
      <c r="B323" s="36"/>
      <c r="C323" s="11" t="str">
        <f aca="false">IF(B323="","",IFERROR(INDEX(Leads!$C:$C,MATCH(B323,Leads!$A:$A,0)),"ID not found"))</f>
        <v/>
      </c>
      <c r="D323" s="11" t="str">
        <f aca="false">IF(B323="","",IFERROR(INDEX(Leads!$B:$B,MATCH(B323,Leads!$A:$A,0)),""))</f>
        <v/>
      </c>
      <c r="E323" s="36"/>
      <c r="F323" s="36"/>
      <c r="G323" s="36"/>
      <c r="H323" s="35"/>
      <c r="I323" s="36"/>
    </row>
    <row r="324" customFormat="false" ht="15" hidden="false" customHeight="false" outlineLevel="0" collapsed="false">
      <c r="A324" s="35"/>
      <c r="B324" s="36"/>
      <c r="C324" s="11" t="str">
        <f aca="false">IF(B324="","",IFERROR(INDEX(Leads!$C:$C,MATCH(B324,Leads!$A:$A,0)),"ID not found"))</f>
        <v/>
      </c>
      <c r="D324" s="11" t="str">
        <f aca="false">IF(B324="","",IFERROR(INDEX(Leads!$B:$B,MATCH(B324,Leads!$A:$A,0)),""))</f>
        <v/>
      </c>
      <c r="E324" s="36"/>
      <c r="F324" s="36"/>
      <c r="G324" s="36"/>
      <c r="H324" s="35"/>
      <c r="I324" s="36"/>
    </row>
    <row r="325" customFormat="false" ht="15" hidden="false" customHeight="false" outlineLevel="0" collapsed="false">
      <c r="A325" s="35"/>
      <c r="B325" s="36"/>
      <c r="C325" s="11" t="str">
        <f aca="false">IF(B325="","",IFERROR(INDEX(Leads!$C:$C,MATCH(B325,Leads!$A:$A,0)),"ID not found"))</f>
        <v/>
      </c>
      <c r="D325" s="11" t="str">
        <f aca="false">IF(B325="","",IFERROR(INDEX(Leads!$B:$B,MATCH(B325,Leads!$A:$A,0)),""))</f>
        <v/>
      </c>
      <c r="E325" s="36"/>
      <c r="F325" s="36"/>
      <c r="G325" s="36"/>
      <c r="H325" s="35"/>
      <c r="I325" s="36"/>
    </row>
    <row r="326" customFormat="false" ht="15" hidden="false" customHeight="false" outlineLevel="0" collapsed="false">
      <c r="A326" s="35"/>
      <c r="B326" s="36"/>
      <c r="C326" s="11" t="str">
        <f aca="false">IF(B326="","",IFERROR(INDEX(Leads!$C:$C,MATCH(B326,Leads!$A:$A,0)),"ID not found"))</f>
        <v/>
      </c>
      <c r="D326" s="11" t="str">
        <f aca="false">IF(B326="","",IFERROR(INDEX(Leads!$B:$B,MATCH(B326,Leads!$A:$A,0)),""))</f>
        <v/>
      </c>
      <c r="E326" s="36"/>
      <c r="F326" s="36"/>
      <c r="G326" s="36"/>
      <c r="H326" s="35"/>
      <c r="I326" s="36"/>
    </row>
    <row r="327" customFormat="false" ht="15" hidden="false" customHeight="false" outlineLevel="0" collapsed="false">
      <c r="A327" s="35"/>
      <c r="B327" s="36"/>
      <c r="C327" s="11" t="str">
        <f aca="false">IF(B327="","",IFERROR(INDEX(Leads!$C:$C,MATCH(B327,Leads!$A:$A,0)),"ID not found"))</f>
        <v/>
      </c>
      <c r="D327" s="11" t="str">
        <f aca="false">IF(B327="","",IFERROR(INDEX(Leads!$B:$B,MATCH(B327,Leads!$A:$A,0)),""))</f>
        <v/>
      </c>
      <c r="E327" s="36"/>
      <c r="F327" s="36"/>
      <c r="G327" s="36"/>
      <c r="H327" s="35"/>
      <c r="I327" s="36"/>
    </row>
    <row r="328" customFormat="false" ht="15" hidden="false" customHeight="false" outlineLevel="0" collapsed="false">
      <c r="A328" s="35"/>
      <c r="B328" s="36"/>
      <c r="C328" s="11" t="str">
        <f aca="false">IF(B328="","",IFERROR(INDEX(Leads!$C:$C,MATCH(B328,Leads!$A:$A,0)),"ID not found"))</f>
        <v/>
      </c>
      <c r="D328" s="11" t="str">
        <f aca="false">IF(B328="","",IFERROR(INDEX(Leads!$B:$B,MATCH(B328,Leads!$A:$A,0)),""))</f>
        <v/>
      </c>
      <c r="E328" s="36"/>
      <c r="F328" s="36"/>
      <c r="G328" s="36"/>
      <c r="H328" s="35"/>
      <c r="I328" s="36"/>
    </row>
    <row r="329" customFormat="false" ht="15" hidden="false" customHeight="false" outlineLevel="0" collapsed="false">
      <c r="A329" s="35"/>
      <c r="B329" s="36"/>
      <c r="C329" s="11" t="str">
        <f aca="false">IF(B329="","",IFERROR(INDEX(Leads!$C:$C,MATCH(B329,Leads!$A:$A,0)),"ID not found"))</f>
        <v/>
      </c>
      <c r="D329" s="11" t="str">
        <f aca="false">IF(B329="","",IFERROR(INDEX(Leads!$B:$B,MATCH(B329,Leads!$A:$A,0)),""))</f>
        <v/>
      </c>
      <c r="E329" s="36"/>
      <c r="F329" s="36"/>
      <c r="G329" s="36"/>
      <c r="H329" s="35"/>
      <c r="I329" s="36"/>
    </row>
    <row r="330" customFormat="false" ht="15" hidden="false" customHeight="false" outlineLevel="0" collapsed="false">
      <c r="A330" s="35"/>
      <c r="B330" s="36"/>
      <c r="C330" s="11" t="str">
        <f aca="false">IF(B330="","",IFERROR(INDEX(Leads!$C:$C,MATCH(B330,Leads!$A:$A,0)),"ID not found"))</f>
        <v/>
      </c>
      <c r="D330" s="11" t="str">
        <f aca="false">IF(B330="","",IFERROR(INDEX(Leads!$B:$B,MATCH(B330,Leads!$A:$A,0)),""))</f>
        <v/>
      </c>
      <c r="E330" s="36"/>
      <c r="F330" s="36"/>
      <c r="G330" s="36"/>
      <c r="H330" s="35"/>
      <c r="I330" s="36"/>
    </row>
    <row r="331" customFormat="false" ht="15" hidden="false" customHeight="false" outlineLevel="0" collapsed="false">
      <c r="A331" s="35"/>
      <c r="B331" s="36"/>
      <c r="C331" s="11" t="str">
        <f aca="false">IF(B331="","",IFERROR(INDEX(Leads!$C:$C,MATCH(B331,Leads!$A:$A,0)),"ID not found"))</f>
        <v/>
      </c>
      <c r="D331" s="11" t="str">
        <f aca="false">IF(B331="","",IFERROR(INDEX(Leads!$B:$B,MATCH(B331,Leads!$A:$A,0)),""))</f>
        <v/>
      </c>
      <c r="E331" s="36"/>
      <c r="F331" s="36"/>
      <c r="G331" s="36"/>
      <c r="H331" s="35"/>
      <c r="I331" s="36"/>
    </row>
    <row r="332" customFormat="false" ht="15" hidden="false" customHeight="false" outlineLevel="0" collapsed="false">
      <c r="A332" s="35"/>
      <c r="B332" s="36"/>
      <c r="C332" s="11" t="str">
        <f aca="false">IF(B332="","",IFERROR(INDEX(Leads!$C:$C,MATCH(B332,Leads!$A:$A,0)),"ID not found"))</f>
        <v/>
      </c>
      <c r="D332" s="11" t="str">
        <f aca="false">IF(B332="","",IFERROR(INDEX(Leads!$B:$B,MATCH(B332,Leads!$A:$A,0)),""))</f>
        <v/>
      </c>
      <c r="E332" s="36"/>
      <c r="F332" s="36"/>
      <c r="G332" s="36"/>
      <c r="H332" s="35"/>
      <c r="I332" s="36"/>
    </row>
    <row r="333" customFormat="false" ht="15" hidden="false" customHeight="false" outlineLevel="0" collapsed="false">
      <c r="A333" s="35"/>
      <c r="B333" s="36"/>
      <c r="C333" s="11" t="str">
        <f aca="false">IF(B333="","",IFERROR(INDEX(Leads!$C:$C,MATCH(B333,Leads!$A:$A,0)),"ID not found"))</f>
        <v/>
      </c>
      <c r="D333" s="11" t="str">
        <f aca="false">IF(B333="","",IFERROR(INDEX(Leads!$B:$B,MATCH(B333,Leads!$A:$A,0)),""))</f>
        <v/>
      </c>
      <c r="E333" s="36"/>
      <c r="F333" s="36"/>
      <c r="G333" s="36"/>
      <c r="H333" s="35"/>
      <c r="I333" s="36"/>
    </row>
    <row r="334" customFormat="false" ht="15" hidden="false" customHeight="false" outlineLevel="0" collapsed="false">
      <c r="A334" s="35"/>
      <c r="B334" s="36"/>
      <c r="C334" s="11" t="str">
        <f aca="false">IF(B334="","",IFERROR(INDEX(Leads!$C:$C,MATCH(B334,Leads!$A:$A,0)),"ID not found"))</f>
        <v/>
      </c>
      <c r="D334" s="11" t="str">
        <f aca="false">IF(B334="","",IFERROR(INDEX(Leads!$B:$B,MATCH(B334,Leads!$A:$A,0)),""))</f>
        <v/>
      </c>
      <c r="E334" s="36"/>
      <c r="F334" s="36"/>
      <c r="G334" s="36"/>
      <c r="H334" s="35"/>
      <c r="I334" s="36"/>
    </row>
    <row r="335" customFormat="false" ht="15" hidden="false" customHeight="false" outlineLevel="0" collapsed="false">
      <c r="A335" s="35"/>
      <c r="B335" s="36"/>
      <c r="C335" s="11" t="str">
        <f aca="false">IF(B335="","",IFERROR(INDEX(Leads!$C:$C,MATCH(B335,Leads!$A:$A,0)),"ID not found"))</f>
        <v/>
      </c>
      <c r="D335" s="11" t="str">
        <f aca="false">IF(B335="","",IFERROR(INDEX(Leads!$B:$B,MATCH(B335,Leads!$A:$A,0)),""))</f>
        <v/>
      </c>
      <c r="E335" s="36"/>
      <c r="F335" s="36"/>
      <c r="G335" s="36"/>
      <c r="H335" s="35"/>
      <c r="I335" s="36"/>
    </row>
    <row r="336" customFormat="false" ht="15" hidden="false" customHeight="false" outlineLevel="0" collapsed="false">
      <c r="A336" s="35"/>
      <c r="B336" s="36"/>
      <c r="C336" s="11" t="str">
        <f aca="false">IF(B336="","",IFERROR(INDEX(Leads!$C:$C,MATCH(B336,Leads!$A:$A,0)),"ID not found"))</f>
        <v/>
      </c>
      <c r="D336" s="11" t="str">
        <f aca="false">IF(B336="","",IFERROR(INDEX(Leads!$B:$B,MATCH(B336,Leads!$A:$A,0)),""))</f>
        <v/>
      </c>
      <c r="E336" s="36"/>
      <c r="F336" s="36"/>
      <c r="G336" s="36"/>
      <c r="H336" s="35"/>
      <c r="I336" s="36"/>
    </row>
    <row r="337" customFormat="false" ht="15" hidden="false" customHeight="false" outlineLevel="0" collapsed="false">
      <c r="A337" s="35"/>
      <c r="B337" s="36"/>
      <c r="C337" s="11" t="str">
        <f aca="false">IF(B337="","",IFERROR(INDEX(Leads!$C:$C,MATCH(B337,Leads!$A:$A,0)),"ID not found"))</f>
        <v/>
      </c>
      <c r="D337" s="11" t="str">
        <f aca="false">IF(B337="","",IFERROR(INDEX(Leads!$B:$B,MATCH(B337,Leads!$A:$A,0)),""))</f>
        <v/>
      </c>
      <c r="E337" s="36"/>
      <c r="F337" s="36"/>
      <c r="G337" s="36"/>
      <c r="H337" s="35"/>
      <c r="I337" s="36"/>
    </row>
    <row r="338" customFormat="false" ht="15" hidden="false" customHeight="false" outlineLevel="0" collapsed="false">
      <c r="A338" s="35"/>
      <c r="B338" s="36"/>
      <c r="C338" s="11" t="str">
        <f aca="false">IF(B338="","",IFERROR(INDEX(Leads!$C:$C,MATCH(B338,Leads!$A:$A,0)),"ID not found"))</f>
        <v/>
      </c>
      <c r="D338" s="11" t="str">
        <f aca="false">IF(B338="","",IFERROR(INDEX(Leads!$B:$B,MATCH(B338,Leads!$A:$A,0)),""))</f>
        <v/>
      </c>
      <c r="E338" s="36"/>
      <c r="F338" s="36"/>
      <c r="G338" s="36"/>
      <c r="H338" s="35"/>
      <c r="I338" s="36"/>
    </row>
    <row r="339" customFormat="false" ht="15" hidden="false" customHeight="false" outlineLevel="0" collapsed="false">
      <c r="A339" s="35"/>
      <c r="B339" s="36"/>
      <c r="C339" s="11" t="str">
        <f aca="false">IF(B339="","",IFERROR(INDEX(Leads!$C:$C,MATCH(B339,Leads!$A:$A,0)),"ID not found"))</f>
        <v/>
      </c>
      <c r="D339" s="11" t="str">
        <f aca="false">IF(B339="","",IFERROR(INDEX(Leads!$B:$B,MATCH(B339,Leads!$A:$A,0)),""))</f>
        <v/>
      </c>
      <c r="E339" s="36"/>
      <c r="F339" s="36"/>
      <c r="G339" s="36"/>
      <c r="H339" s="35"/>
      <c r="I339" s="36"/>
    </row>
    <row r="340" customFormat="false" ht="15" hidden="false" customHeight="false" outlineLevel="0" collapsed="false">
      <c r="A340" s="35"/>
      <c r="B340" s="36"/>
      <c r="C340" s="11" t="str">
        <f aca="false">IF(B340="","",IFERROR(INDEX(Leads!$C:$C,MATCH(B340,Leads!$A:$A,0)),"ID not found"))</f>
        <v/>
      </c>
      <c r="D340" s="11" t="str">
        <f aca="false">IF(B340="","",IFERROR(INDEX(Leads!$B:$B,MATCH(B340,Leads!$A:$A,0)),""))</f>
        <v/>
      </c>
      <c r="E340" s="36"/>
      <c r="F340" s="36"/>
      <c r="G340" s="36"/>
      <c r="H340" s="35"/>
      <c r="I340" s="36"/>
    </row>
    <row r="341" customFormat="false" ht="15" hidden="false" customHeight="false" outlineLevel="0" collapsed="false">
      <c r="A341" s="35"/>
      <c r="B341" s="36"/>
      <c r="C341" s="11" t="str">
        <f aca="false">IF(B341="","",IFERROR(INDEX(Leads!$C:$C,MATCH(B341,Leads!$A:$A,0)),"ID not found"))</f>
        <v/>
      </c>
      <c r="D341" s="11" t="str">
        <f aca="false">IF(B341="","",IFERROR(INDEX(Leads!$B:$B,MATCH(B341,Leads!$A:$A,0)),""))</f>
        <v/>
      </c>
      <c r="E341" s="36"/>
      <c r="F341" s="36"/>
      <c r="G341" s="36"/>
      <c r="H341" s="35"/>
      <c r="I341" s="36"/>
    </row>
    <row r="342" customFormat="false" ht="15" hidden="false" customHeight="false" outlineLevel="0" collapsed="false">
      <c r="A342" s="35"/>
      <c r="B342" s="36"/>
      <c r="C342" s="11" t="str">
        <f aca="false">IF(B342="","",IFERROR(INDEX(Leads!$C:$C,MATCH(B342,Leads!$A:$A,0)),"ID not found"))</f>
        <v/>
      </c>
      <c r="D342" s="11" t="str">
        <f aca="false">IF(B342="","",IFERROR(INDEX(Leads!$B:$B,MATCH(B342,Leads!$A:$A,0)),""))</f>
        <v/>
      </c>
      <c r="E342" s="36"/>
      <c r="F342" s="36"/>
      <c r="G342" s="36"/>
      <c r="H342" s="35"/>
      <c r="I342" s="36"/>
    </row>
    <row r="343" customFormat="false" ht="15" hidden="false" customHeight="false" outlineLevel="0" collapsed="false">
      <c r="A343" s="35"/>
      <c r="B343" s="36"/>
      <c r="C343" s="11" t="str">
        <f aca="false">IF(B343="","",IFERROR(INDEX(Leads!$C:$C,MATCH(B343,Leads!$A:$A,0)),"ID not found"))</f>
        <v/>
      </c>
      <c r="D343" s="11" t="str">
        <f aca="false">IF(B343="","",IFERROR(INDEX(Leads!$B:$B,MATCH(B343,Leads!$A:$A,0)),""))</f>
        <v/>
      </c>
      <c r="E343" s="36"/>
      <c r="F343" s="36"/>
      <c r="G343" s="36"/>
      <c r="H343" s="35"/>
      <c r="I343" s="36"/>
    </row>
    <row r="344" customFormat="false" ht="15" hidden="false" customHeight="false" outlineLevel="0" collapsed="false">
      <c r="A344" s="35"/>
      <c r="B344" s="36"/>
      <c r="C344" s="11" t="str">
        <f aca="false">IF(B344="","",IFERROR(INDEX(Leads!$C:$C,MATCH(B344,Leads!$A:$A,0)),"ID not found"))</f>
        <v/>
      </c>
      <c r="D344" s="11" t="str">
        <f aca="false">IF(B344="","",IFERROR(INDEX(Leads!$B:$B,MATCH(B344,Leads!$A:$A,0)),""))</f>
        <v/>
      </c>
      <c r="E344" s="36"/>
      <c r="F344" s="36"/>
      <c r="G344" s="36"/>
      <c r="H344" s="35"/>
      <c r="I344" s="36"/>
    </row>
    <row r="345" customFormat="false" ht="15" hidden="false" customHeight="false" outlineLevel="0" collapsed="false">
      <c r="A345" s="35"/>
      <c r="B345" s="36"/>
      <c r="C345" s="11" t="str">
        <f aca="false">IF(B345="","",IFERROR(INDEX(Leads!$C:$C,MATCH(B345,Leads!$A:$A,0)),"ID not found"))</f>
        <v/>
      </c>
      <c r="D345" s="11" t="str">
        <f aca="false">IF(B345="","",IFERROR(INDEX(Leads!$B:$B,MATCH(B345,Leads!$A:$A,0)),""))</f>
        <v/>
      </c>
      <c r="E345" s="36"/>
      <c r="F345" s="36"/>
      <c r="G345" s="36"/>
      <c r="H345" s="35"/>
      <c r="I345" s="36"/>
    </row>
    <row r="346" customFormat="false" ht="15" hidden="false" customHeight="false" outlineLevel="0" collapsed="false">
      <c r="A346" s="35"/>
      <c r="B346" s="36"/>
      <c r="C346" s="11" t="str">
        <f aca="false">IF(B346="","",IFERROR(INDEX(Leads!$C:$C,MATCH(B346,Leads!$A:$A,0)),"ID not found"))</f>
        <v/>
      </c>
      <c r="D346" s="11" t="str">
        <f aca="false">IF(B346="","",IFERROR(INDEX(Leads!$B:$B,MATCH(B346,Leads!$A:$A,0)),""))</f>
        <v/>
      </c>
      <c r="E346" s="36"/>
      <c r="F346" s="36"/>
      <c r="G346" s="36"/>
      <c r="H346" s="35"/>
      <c r="I346" s="36"/>
    </row>
    <row r="347" customFormat="false" ht="15" hidden="false" customHeight="false" outlineLevel="0" collapsed="false">
      <c r="A347" s="35"/>
      <c r="B347" s="36"/>
      <c r="C347" s="11" t="str">
        <f aca="false">IF(B347="","",IFERROR(INDEX(Leads!$C:$C,MATCH(B347,Leads!$A:$A,0)),"ID not found"))</f>
        <v/>
      </c>
      <c r="D347" s="11" t="str">
        <f aca="false">IF(B347="","",IFERROR(INDEX(Leads!$B:$B,MATCH(B347,Leads!$A:$A,0)),""))</f>
        <v/>
      </c>
      <c r="E347" s="36"/>
      <c r="F347" s="36"/>
      <c r="G347" s="36"/>
      <c r="H347" s="35"/>
      <c r="I347" s="36"/>
    </row>
    <row r="348" customFormat="false" ht="15" hidden="false" customHeight="false" outlineLevel="0" collapsed="false">
      <c r="A348" s="35"/>
      <c r="B348" s="36"/>
      <c r="C348" s="11" t="str">
        <f aca="false">IF(B348="","",IFERROR(INDEX(Leads!$C:$C,MATCH(B348,Leads!$A:$A,0)),"ID not found"))</f>
        <v/>
      </c>
      <c r="D348" s="11" t="str">
        <f aca="false">IF(B348="","",IFERROR(INDEX(Leads!$B:$B,MATCH(B348,Leads!$A:$A,0)),""))</f>
        <v/>
      </c>
      <c r="E348" s="36"/>
      <c r="F348" s="36"/>
      <c r="G348" s="36"/>
      <c r="H348" s="35"/>
      <c r="I348" s="36"/>
    </row>
    <row r="349" customFormat="false" ht="15" hidden="false" customHeight="false" outlineLevel="0" collapsed="false">
      <c r="A349" s="35"/>
      <c r="B349" s="36"/>
      <c r="C349" s="11" t="str">
        <f aca="false">IF(B349="","",IFERROR(INDEX(Leads!$C:$C,MATCH(B349,Leads!$A:$A,0)),"ID not found"))</f>
        <v/>
      </c>
      <c r="D349" s="11" t="str">
        <f aca="false">IF(B349="","",IFERROR(INDEX(Leads!$B:$B,MATCH(B349,Leads!$A:$A,0)),""))</f>
        <v/>
      </c>
      <c r="E349" s="36"/>
      <c r="F349" s="36"/>
      <c r="G349" s="36"/>
      <c r="H349" s="35"/>
      <c r="I349" s="36"/>
    </row>
    <row r="350" customFormat="false" ht="15" hidden="false" customHeight="false" outlineLevel="0" collapsed="false">
      <c r="A350" s="35"/>
      <c r="B350" s="36"/>
      <c r="C350" s="11" t="str">
        <f aca="false">IF(B350="","",IFERROR(INDEX(Leads!$C:$C,MATCH(B350,Leads!$A:$A,0)),"ID not found"))</f>
        <v/>
      </c>
      <c r="D350" s="11" t="str">
        <f aca="false">IF(B350="","",IFERROR(INDEX(Leads!$B:$B,MATCH(B350,Leads!$A:$A,0)),""))</f>
        <v/>
      </c>
      <c r="E350" s="36"/>
      <c r="F350" s="36"/>
      <c r="G350" s="36"/>
      <c r="H350" s="35"/>
      <c r="I350" s="36"/>
    </row>
    <row r="351" customFormat="false" ht="15" hidden="false" customHeight="false" outlineLevel="0" collapsed="false">
      <c r="A351" s="35"/>
      <c r="B351" s="36"/>
      <c r="C351" s="11" t="str">
        <f aca="false">IF(B351="","",IFERROR(INDEX(Leads!$C:$C,MATCH(B351,Leads!$A:$A,0)),"ID not found"))</f>
        <v/>
      </c>
      <c r="D351" s="11" t="str">
        <f aca="false">IF(B351="","",IFERROR(INDEX(Leads!$B:$B,MATCH(B351,Leads!$A:$A,0)),""))</f>
        <v/>
      </c>
      <c r="E351" s="36"/>
      <c r="F351" s="36"/>
      <c r="G351" s="36"/>
      <c r="H351" s="35"/>
      <c r="I351" s="36"/>
    </row>
    <row r="352" customFormat="false" ht="15" hidden="false" customHeight="false" outlineLevel="0" collapsed="false">
      <c r="A352" s="35"/>
      <c r="B352" s="36"/>
      <c r="C352" s="11" t="str">
        <f aca="false">IF(B352="","",IFERROR(INDEX(Leads!$C:$C,MATCH(B352,Leads!$A:$A,0)),"ID not found"))</f>
        <v/>
      </c>
      <c r="D352" s="11" t="str">
        <f aca="false">IF(B352="","",IFERROR(INDEX(Leads!$B:$B,MATCH(B352,Leads!$A:$A,0)),""))</f>
        <v/>
      </c>
      <c r="E352" s="36"/>
      <c r="F352" s="36"/>
      <c r="G352" s="36"/>
      <c r="H352" s="35"/>
      <c r="I352" s="36"/>
    </row>
    <row r="353" customFormat="false" ht="15" hidden="false" customHeight="false" outlineLevel="0" collapsed="false">
      <c r="A353" s="35"/>
      <c r="B353" s="36"/>
      <c r="C353" s="11" t="str">
        <f aca="false">IF(B353="","",IFERROR(INDEX(Leads!$C:$C,MATCH(B353,Leads!$A:$A,0)),"ID not found"))</f>
        <v/>
      </c>
      <c r="D353" s="11" t="str">
        <f aca="false">IF(B353="","",IFERROR(INDEX(Leads!$B:$B,MATCH(B353,Leads!$A:$A,0)),""))</f>
        <v/>
      </c>
      <c r="E353" s="36"/>
      <c r="F353" s="36"/>
      <c r="G353" s="36"/>
      <c r="H353" s="35"/>
      <c r="I353" s="36"/>
    </row>
    <row r="354" customFormat="false" ht="15" hidden="false" customHeight="false" outlineLevel="0" collapsed="false">
      <c r="A354" s="35"/>
      <c r="B354" s="36"/>
      <c r="C354" s="11" t="str">
        <f aca="false">IF(B354="","",IFERROR(INDEX(Leads!$C:$C,MATCH(B354,Leads!$A:$A,0)),"ID not found"))</f>
        <v/>
      </c>
      <c r="D354" s="11" t="str">
        <f aca="false">IF(B354="","",IFERROR(INDEX(Leads!$B:$B,MATCH(B354,Leads!$A:$A,0)),""))</f>
        <v/>
      </c>
      <c r="E354" s="36"/>
      <c r="F354" s="36"/>
      <c r="G354" s="36"/>
      <c r="H354" s="35"/>
      <c r="I354" s="36"/>
    </row>
    <row r="355" customFormat="false" ht="15" hidden="false" customHeight="false" outlineLevel="0" collapsed="false">
      <c r="A355" s="35"/>
      <c r="B355" s="36"/>
      <c r="C355" s="11" t="str">
        <f aca="false">IF(B355="","",IFERROR(INDEX(Leads!$C:$C,MATCH(B355,Leads!$A:$A,0)),"ID not found"))</f>
        <v/>
      </c>
      <c r="D355" s="11" t="str">
        <f aca="false">IF(B355="","",IFERROR(INDEX(Leads!$B:$B,MATCH(B355,Leads!$A:$A,0)),""))</f>
        <v/>
      </c>
      <c r="E355" s="36"/>
      <c r="F355" s="36"/>
      <c r="G355" s="36"/>
      <c r="H355" s="35"/>
      <c r="I355" s="36"/>
    </row>
    <row r="356" customFormat="false" ht="15" hidden="false" customHeight="false" outlineLevel="0" collapsed="false">
      <c r="A356" s="35"/>
      <c r="B356" s="36"/>
      <c r="C356" s="11" t="str">
        <f aca="false">IF(B356="","",IFERROR(INDEX(Leads!$C:$C,MATCH(B356,Leads!$A:$A,0)),"ID not found"))</f>
        <v/>
      </c>
      <c r="D356" s="11" t="str">
        <f aca="false">IF(B356="","",IFERROR(INDEX(Leads!$B:$B,MATCH(B356,Leads!$A:$A,0)),""))</f>
        <v/>
      </c>
      <c r="E356" s="36"/>
      <c r="F356" s="36"/>
      <c r="G356" s="36"/>
      <c r="H356" s="35"/>
      <c r="I356" s="36"/>
    </row>
    <row r="357" customFormat="false" ht="15" hidden="false" customHeight="false" outlineLevel="0" collapsed="false">
      <c r="A357" s="35"/>
      <c r="B357" s="36"/>
      <c r="C357" s="11" t="str">
        <f aca="false">IF(B357="","",IFERROR(INDEX(Leads!$C:$C,MATCH(B357,Leads!$A:$A,0)),"ID not found"))</f>
        <v/>
      </c>
      <c r="D357" s="11" t="str">
        <f aca="false">IF(B357="","",IFERROR(INDEX(Leads!$B:$B,MATCH(B357,Leads!$A:$A,0)),""))</f>
        <v/>
      </c>
      <c r="E357" s="36"/>
      <c r="F357" s="36"/>
      <c r="G357" s="36"/>
      <c r="H357" s="35"/>
      <c r="I357" s="36"/>
    </row>
    <row r="358" customFormat="false" ht="15" hidden="false" customHeight="false" outlineLevel="0" collapsed="false">
      <c r="A358" s="35"/>
      <c r="B358" s="36"/>
      <c r="C358" s="11" t="str">
        <f aca="false">IF(B358="","",IFERROR(INDEX(Leads!$C:$C,MATCH(B358,Leads!$A:$A,0)),"ID not found"))</f>
        <v/>
      </c>
      <c r="D358" s="11" t="str">
        <f aca="false">IF(B358="","",IFERROR(INDEX(Leads!$B:$B,MATCH(B358,Leads!$A:$A,0)),""))</f>
        <v/>
      </c>
      <c r="E358" s="36"/>
      <c r="F358" s="36"/>
      <c r="G358" s="36"/>
      <c r="H358" s="35"/>
      <c r="I358" s="36"/>
    </row>
    <row r="359" customFormat="false" ht="15" hidden="false" customHeight="false" outlineLevel="0" collapsed="false">
      <c r="A359" s="35"/>
      <c r="B359" s="36"/>
      <c r="C359" s="11" t="str">
        <f aca="false">IF(B359="","",IFERROR(INDEX(Leads!$C:$C,MATCH(B359,Leads!$A:$A,0)),"ID not found"))</f>
        <v/>
      </c>
      <c r="D359" s="11" t="str">
        <f aca="false">IF(B359="","",IFERROR(INDEX(Leads!$B:$B,MATCH(B359,Leads!$A:$A,0)),""))</f>
        <v/>
      </c>
      <c r="E359" s="36"/>
      <c r="F359" s="36"/>
      <c r="G359" s="36"/>
      <c r="H359" s="35"/>
      <c r="I359" s="36"/>
    </row>
    <row r="360" customFormat="false" ht="15" hidden="false" customHeight="false" outlineLevel="0" collapsed="false">
      <c r="A360" s="35"/>
      <c r="B360" s="36"/>
      <c r="C360" s="11" t="str">
        <f aca="false">IF(B360="","",IFERROR(INDEX(Leads!$C:$C,MATCH(B360,Leads!$A:$A,0)),"ID not found"))</f>
        <v/>
      </c>
      <c r="D360" s="11" t="str">
        <f aca="false">IF(B360="","",IFERROR(INDEX(Leads!$B:$B,MATCH(B360,Leads!$A:$A,0)),""))</f>
        <v/>
      </c>
      <c r="E360" s="36"/>
      <c r="F360" s="36"/>
      <c r="G360" s="36"/>
      <c r="H360" s="35"/>
      <c r="I360" s="36"/>
    </row>
    <row r="361" customFormat="false" ht="15" hidden="false" customHeight="false" outlineLevel="0" collapsed="false">
      <c r="A361" s="35"/>
      <c r="B361" s="36"/>
      <c r="C361" s="11" t="str">
        <f aca="false">IF(B361="","",IFERROR(INDEX(Leads!$C:$C,MATCH(B361,Leads!$A:$A,0)),"ID not found"))</f>
        <v/>
      </c>
      <c r="D361" s="11" t="str">
        <f aca="false">IF(B361="","",IFERROR(INDEX(Leads!$B:$B,MATCH(B361,Leads!$A:$A,0)),""))</f>
        <v/>
      </c>
      <c r="E361" s="36"/>
      <c r="F361" s="36"/>
      <c r="G361" s="36"/>
      <c r="H361" s="35"/>
      <c r="I361" s="36"/>
    </row>
    <row r="362" customFormat="false" ht="15" hidden="false" customHeight="false" outlineLevel="0" collapsed="false">
      <c r="A362" s="35"/>
      <c r="B362" s="36"/>
      <c r="C362" s="11" t="str">
        <f aca="false">IF(B362="","",IFERROR(INDEX(Leads!$C:$C,MATCH(B362,Leads!$A:$A,0)),"ID not found"))</f>
        <v/>
      </c>
      <c r="D362" s="11" t="str">
        <f aca="false">IF(B362="","",IFERROR(INDEX(Leads!$B:$B,MATCH(B362,Leads!$A:$A,0)),""))</f>
        <v/>
      </c>
      <c r="E362" s="36"/>
      <c r="F362" s="36"/>
      <c r="G362" s="36"/>
      <c r="H362" s="35"/>
      <c r="I362" s="36"/>
    </row>
    <row r="363" customFormat="false" ht="15" hidden="false" customHeight="false" outlineLevel="0" collapsed="false">
      <c r="A363" s="35"/>
      <c r="B363" s="36"/>
      <c r="C363" s="11" t="str">
        <f aca="false">IF(B363="","",IFERROR(INDEX(Leads!$C:$C,MATCH(B363,Leads!$A:$A,0)),"ID not found"))</f>
        <v/>
      </c>
      <c r="D363" s="11" t="str">
        <f aca="false">IF(B363="","",IFERROR(INDEX(Leads!$B:$B,MATCH(B363,Leads!$A:$A,0)),""))</f>
        <v/>
      </c>
      <c r="E363" s="36"/>
      <c r="F363" s="36"/>
      <c r="G363" s="36"/>
      <c r="H363" s="35"/>
      <c r="I363" s="36"/>
    </row>
    <row r="364" customFormat="false" ht="15" hidden="false" customHeight="false" outlineLevel="0" collapsed="false">
      <c r="A364" s="35"/>
      <c r="B364" s="36"/>
      <c r="C364" s="11" t="str">
        <f aca="false">IF(B364="","",IFERROR(INDEX(Leads!$C:$C,MATCH(B364,Leads!$A:$A,0)),"ID not found"))</f>
        <v/>
      </c>
      <c r="D364" s="11" t="str">
        <f aca="false">IF(B364="","",IFERROR(INDEX(Leads!$B:$B,MATCH(B364,Leads!$A:$A,0)),""))</f>
        <v/>
      </c>
      <c r="E364" s="36"/>
      <c r="F364" s="36"/>
      <c r="G364" s="36"/>
      <c r="H364" s="35"/>
      <c r="I364" s="36"/>
    </row>
    <row r="365" customFormat="false" ht="15" hidden="false" customHeight="false" outlineLevel="0" collapsed="false">
      <c r="A365" s="35"/>
      <c r="B365" s="36"/>
      <c r="C365" s="11" t="str">
        <f aca="false">IF(B365="","",IFERROR(INDEX(Leads!$C:$C,MATCH(B365,Leads!$A:$A,0)),"ID not found"))</f>
        <v/>
      </c>
      <c r="D365" s="11" t="str">
        <f aca="false">IF(B365="","",IFERROR(INDEX(Leads!$B:$B,MATCH(B365,Leads!$A:$A,0)),""))</f>
        <v/>
      </c>
      <c r="E365" s="36"/>
      <c r="F365" s="36"/>
      <c r="G365" s="36"/>
      <c r="H365" s="35"/>
      <c r="I365" s="36"/>
    </row>
    <row r="366" customFormat="false" ht="15" hidden="false" customHeight="false" outlineLevel="0" collapsed="false">
      <c r="A366" s="35"/>
      <c r="B366" s="36"/>
      <c r="C366" s="11" t="str">
        <f aca="false">IF(B366="","",IFERROR(INDEX(Leads!$C:$C,MATCH(B366,Leads!$A:$A,0)),"ID not found"))</f>
        <v/>
      </c>
      <c r="D366" s="11" t="str">
        <f aca="false">IF(B366="","",IFERROR(INDEX(Leads!$B:$B,MATCH(B366,Leads!$A:$A,0)),""))</f>
        <v/>
      </c>
      <c r="E366" s="36"/>
      <c r="F366" s="36"/>
      <c r="G366" s="36"/>
      <c r="H366" s="35"/>
      <c r="I366" s="36"/>
    </row>
    <row r="367" customFormat="false" ht="15" hidden="false" customHeight="false" outlineLevel="0" collapsed="false">
      <c r="A367" s="35"/>
      <c r="B367" s="36"/>
      <c r="C367" s="11" t="str">
        <f aca="false">IF(B367="","",IFERROR(INDEX(Leads!$C:$C,MATCH(B367,Leads!$A:$A,0)),"ID not found"))</f>
        <v/>
      </c>
      <c r="D367" s="11" t="str">
        <f aca="false">IF(B367="","",IFERROR(INDEX(Leads!$B:$B,MATCH(B367,Leads!$A:$A,0)),""))</f>
        <v/>
      </c>
      <c r="E367" s="36"/>
      <c r="F367" s="36"/>
      <c r="G367" s="36"/>
      <c r="H367" s="35"/>
      <c r="I367" s="36"/>
    </row>
    <row r="368" customFormat="false" ht="15" hidden="false" customHeight="false" outlineLevel="0" collapsed="false">
      <c r="A368" s="35"/>
      <c r="B368" s="36"/>
      <c r="C368" s="11" t="str">
        <f aca="false">IF(B368="","",IFERROR(INDEX(Leads!$C:$C,MATCH(B368,Leads!$A:$A,0)),"ID not found"))</f>
        <v/>
      </c>
      <c r="D368" s="11" t="str">
        <f aca="false">IF(B368="","",IFERROR(INDEX(Leads!$B:$B,MATCH(B368,Leads!$A:$A,0)),""))</f>
        <v/>
      </c>
      <c r="E368" s="36"/>
      <c r="F368" s="36"/>
      <c r="G368" s="36"/>
      <c r="H368" s="35"/>
      <c r="I368" s="36"/>
    </row>
    <row r="369" customFormat="false" ht="15" hidden="false" customHeight="false" outlineLevel="0" collapsed="false">
      <c r="A369" s="35"/>
      <c r="B369" s="36"/>
      <c r="C369" s="11" t="str">
        <f aca="false">IF(B369="","",IFERROR(INDEX(Leads!$C:$C,MATCH(B369,Leads!$A:$A,0)),"ID not found"))</f>
        <v/>
      </c>
      <c r="D369" s="11" t="str">
        <f aca="false">IF(B369="","",IFERROR(INDEX(Leads!$B:$B,MATCH(B369,Leads!$A:$A,0)),""))</f>
        <v/>
      </c>
      <c r="E369" s="36"/>
      <c r="F369" s="36"/>
      <c r="G369" s="36"/>
      <c r="H369" s="35"/>
      <c r="I369" s="36"/>
    </row>
    <row r="370" customFormat="false" ht="15" hidden="false" customHeight="false" outlineLevel="0" collapsed="false">
      <c r="A370" s="35"/>
      <c r="B370" s="36"/>
      <c r="C370" s="11" t="str">
        <f aca="false">IF(B370="","",IFERROR(INDEX(Leads!$C:$C,MATCH(B370,Leads!$A:$A,0)),"ID not found"))</f>
        <v/>
      </c>
      <c r="D370" s="11" t="str">
        <f aca="false">IF(B370="","",IFERROR(INDEX(Leads!$B:$B,MATCH(B370,Leads!$A:$A,0)),""))</f>
        <v/>
      </c>
      <c r="E370" s="36"/>
      <c r="F370" s="36"/>
      <c r="G370" s="36"/>
      <c r="H370" s="35"/>
      <c r="I370" s="36"/>
    </row>
    <row r="371" customFormat="false" ht="15" hidden="false" customHeight="false" outlineLevel="0" collapsed="false">
      <c r="A371" s="35"/>
      <c r="B371" s="36"/>
      <c r="C371" s="11" t="str">
        <f aca="false">IF(B371="","",IFERROR(INDEX(Leads!$C:$C,MATCH(B371,Leads!$A:$A,0)),"ID not found"))</f>
        <v/>
      </c>
      <c r="D371" s="11" t="str">
        <f aca="false">IF(B371="","",IFERROR(INDEX(Leads!$B:$B,MATCH(B371,Leads!$A:$A,0)),""))</f>
        <v/>
      </c>
      <c r="E371" s="36"/>
      <c r="F371" s="36"/>
      <c r="G371" s="36"/>
      <c r="H371" s="35"/>
      <c r="I371" s="36"/>
    </row>
    <row r="372" customFormat="false" ht="15" hidden="false" customHeight="false" outlineLevel="0" collapsed="false">
      <c r="A372" s="35"/>
      <c r="B372" s="36"/>
      <c r="C372" s="11" t="str">
        <f aca="false">IF(B372="","",IFERROR(INDEX(Leads!$C:$C,MATCH(B372,Leads!$A:$A,0)),"ID not found"))</f>
        <v/>
      </c>
      <c r="D372" s="11" t="str">
        <f aca="false">IF(B372="","",IFERROR(INDEX(Leads!$B:$B,MATCH(B372,Leads!$A:$A,0)),""))</f>
        <v/>
      </c>
      <c r="E372" s="36"/>
      <c r="F372" s="36"/>
      <c r="G372" s="36"/>
      <c r="H372" s="35"/>
      <c r="I372" s="36"/>
    </row>
    <row r="373" customFormat="false" ht="15" hidden="false" customHeight="false" outlineLevel="0" collapsed="false">
      <c r="A373" s="35"/>
      <c r="B373" s="36"/>
      <c r="C373" s="11" t="str">
        <f aca="false">IF(B373="","",IFERROR(INDEX(Leads!$C:$C,MATCH(B373,Leads!$A:$A,0)),"ID not found"))</f>
        <v/>
      </c>
      <c r="D373" s="11" t="str">
        <f aca="false">IF(B373="","",IFERROR(INDEX(Leads!$B:$B,MATCH(B373,Leads!$A:$A,0)),""))</f>
        <v/>
      </c>
      <c r="E373" s="36"/>
      <c r="F373" s="36"/>
      <c r="G373" s="36"/>
      <c r="H373" s="35"/>
      <c r="I373" s="36"/>
    </row>
    <row r="374" customFormat="false" ht="15" hidden="false" customHeight="false" outlineLevel="0" collapsed="false">
      <c r="A374" s="35"/>
      <c r="B374" s="36"/>
      <c r="C374" s="11" t="str">
        <f aca="false">IF(B374="","",IFERROR(INDEX(Leads!$C:$C,MATCH(B374,Leads!$A:$A,0)),"ID not found"))</f>
        <v/>
      </c>
      <c r="D374" s="11" t="str">
        <f aca="false">IF(B374="","",IFERROR(INDEX(Leads!$B:$B,MATCH(B374,Leads!$A:$A,0)),""))</f>
        <v/>
      </c>
      <c r="E374" s="36"/>
      <c r="F374" s="36"/>
      <c r="G374" s="36"/>
      <c r="H374" s="35"/>
      <c r="I374" s="36"/>
    </row>
    <row r="375" customFormat="false" ht="15" hidden="false" customHeight="false" outlineLevel="0" collapsed="false">
      <c r="A375" s="35"/>
      <c r="B375" s="36"/>
      <c r="C375" s="11" t="str">
        <f aca="false">IF(B375="","",IFERROR(INDEX(Leads!$C:$C,MATCH(B375,Leads!$A:$A,0)),"ID not found"))</f>
        <v/>
      </c>
      <c r="D375" s="11" t="str">
        <f aca="false">IF(B375="","",IFERROR(INDEX(Leads!$B:$B,MATCH(B375,Leads!$A:$A,0)),""))</f>
        <v/>
      </c>
      <c r="E375" s="36"/>
      <c r="F375" s="36"/>
      <c r="G375" s="36"/>
      <c r="H375" s="35"/>
      <c r="I375" s="36"/>
    </row>
    <row r="376" customFormat="false" ht="15" hidden="false" customHeight="false" outlineLevel="0" collapsed="false">
      <c r="A376" s="35"/>
      <c r="B376" s="36"/>
      <c r="C376" s="11" t="str">
        <f aca="false">IF(B376="","",IFERROR(INDEX(Leads!$C:$C,MATCH(B376,Leads!$A:$A,0)),"ID not found"))</f>
        <v/>
      </c>
      <c r="D376" s="11" t="str">
        <f aca="false">IF(B376="","",IFERROR(INDEX(Leads!$B:$B,MATCH(B376,Leads!$A:$A,0)),""))</f>
        <v/>
      </c>
      <c r="E376" s="36"/>
      <c r="F376" s="36"/>
      <c r="G376" s="36"/>
      <c r="H376" s="35"/>
      <c r="I376" s="36"/>
    </row>
    <row r="377" customFormat="false" ht="15" hidden="false" customHeight="false" outlineLevel="0" collapsed="false">
      <c r="A377" s="35"/>
      <c r="B377" s="36"/>
      <c r="C377" s="11" t="str">
        <f aca="false">IF(B377="","",IFERROR(INDEX(Leads!$C:$C,MATCH(B377,Leads!$A:$A,0)),"ID not found"))</f>
        <v/>
      </c>
      <c r="D377" s="11" t="str">
        <f aca="false">IF(B377="","",IFERROR(INDEX(Leads!$B:$B,MATCH(B377,Leads!$A:$A,0)),""))</f>
        <v/>
      </c>
      <c r="E377" s="36"/>
      <c r="F377" s="36"/>
      <c r="G377" s="36"/>
      <c r="H377" s="35"/>
      <c r="I377" s="36"/>
    </row>
    <row r="378" customFormat="false" ht="15" hidden="false" customHeight="false" outlineLevel="0" collapsed="false">
      <c r="A378" s="35"/>
      <c r="B378" s="36"/>
      <c r="C378" s="11" t="str">
        <f aca="false">IF(B378="","",IFERROR(INDEX(Leads!$C:$C,MATCH(B378,Leads!$A:$A,0)),"ID not found"))</f>
        <v/>
      </c>
      <c r="D378" s="11" t="str">
        <f aca="false">IF(B378="","",IFERROR(INDEX(Leads!$B:$B,MATCH(B378,Leads!$A:$A,0)),""))</f>
        <v/>
      </c>
      <c r="E378" s="36"/>
      <c r="F378" s="36"/>
      <c r="G378" s="36"/>
      <c r="H378" s="35"/>
      <c r="I378" s="36"/>
    </row>
    <row r="379" customFormat="false" ht="15" hidden="false" customHeight="false" outlineLevel="0" collapsed="false">
      <c r="A379" s="35"/>
      <c r="B379" s="36"/>
      <c r="C379" s="11" t="str">
        <f aca="false">IF(B379="","",IFERROR(INDEX(Leads!$C:$C,MATCH(B379,Leads!$A:$A,0)),"ID not found"))</f>
        <v/>
      </c>
      <c r="D379" s="11" t="str">
        <f aca="false">IF(B379="","",IFERROR(INDEX(Leads!$B:$B,MATCH(B379,Leads!$A:$A,0)),""))</f>
        <v/>
      </c>
      <c r="E379" s="36"/>
      <c r="F379" s="36"/>
      <c r="G379" s="36"/>
      <c r="H379" s="35"/>
      <c r="I379" s="36"/>
    </row>
    <row r="380" customFormat="false" ht="15" hidden="false" customHeight="false" outlineLevel="0" collapsed="false">
      <c r="A380" s="35"/>
      <c r="B380" s="36"/>
      <c r="C380" s="11" t="str">
        <f aca="false">IF(B380="","",IFERROR(INDEX(Leads!$C:$C,MATCH(B380,Leads!$A:$A,0)),"ID not found"))</f>
        <v/>
      </c>
      <c r="D380" s="11" t="str">
        <f aca="false">IF(B380="","",IFERROR(INDEX(Leads!$B:$B,MATCH(B380,Leads!$A:$A,0)),""))</f>
        <v/>
      </c>
      <c r="E380" s="36"/>
      <c r="F380" s="36"/>
      <c r="G380" s="36"/>
      <c r="H380" s="35"/>
      <c r="I380" s="36"/>
    </row>
    <row r="381" customFormat="false" ht="15" hidden="false" customHeight="false" outlineLevel="0" collapsed="false">
      <c r="A381" s="35"/>
      <c r="B381" s="36"/>
      <c r="C381" s="11" t="str">
        <f aca="false">IF(B381="","",IFERROR(INDEX(Leads!$C:$C,MATCH(B381,Leads!$A:$A,0)),"ID not found"))</f>
        <v/>
      </c>
      <c r="D381" s="11" t="str">
        <f aca="false">IF(B381="","",IFERROR(INDEX(Leads!$B:$B,MATCH(B381,Leads!$A:$A,0)),""))</f>
        <v/>
      </c>
      <c r="E381" s="36"/>
      <c r="F381" s="36"/>
      <c r="G381" s="36"/>
      <c r="H381" s="35"/>
      <c r="I381" s="36"/>
    </row>
    <row r="382" customFormat="false" ht="15" hidden="false" customHeight="false" outlineLevel="0" collapsed="false">
      <c r="A382" s="35"/>
      <c r="B382" s="36"/>
      <c r="C382" s="11" t="str">
        <f aca="false">IF(B382="","",IFERROR(INDEX(Leads!$C:$C,MATCH(B382,Leads!$A:$A,0)),"ID not found"))</f>
        <v/>
      </c>
      <c r="D382" s="11" t="str">
        <f aca="false">IF(B382="","",IFERROR(INDEX(Leads!$B:$B,MATCH(B382,Leads!$A:$A,0)),""))</f>
        <v/>
      </c>
      <c r="E382" s="36"/>
      <c r="F382" s="36"/>
      <c r="G382" s="36"/>
      <c r="H382" s="35"/>
      <c r="I382" s="36"/>
    </row>
    <row r="383" customFormat="false" ht="15" hidden="false" customHeight="false" outlineLevel="0" collapsed="false">
      <c r="A383" s="35"/>
      <c r="B383" s="36"/>
      <c r="C383" s="11" t="str">
        <f aca="false">IF(B383="","",IFERROR(INDEX(Leads!$C:$C,MATCH(B383,Leads!$A:$A,0)),"ID not found"))</f>
        <v/>
      </c>
      <c r="D383" s="11" t="str">
        <f aca="false">IF(B383="","",IFERROR(INDEX(Leads!$B:$B,MATCH(B383,Leads!$A:$A,0)),""))</f>
        <v/>
      </c>
      <c r="E383" s="36"/>
      <c r="F383" s="36"/>
      <c r="G383" s="36"/>
      <c r="H383" s="35"/>
      <c r="I383" s="36"/>
    </row>
    <row r="384" customFormat="false" ht="15" hidden="false" customHeight="false" outlineLevel="0" collapsed="false">
      <c r="A384" s="35"/>
      <c r="B384" s="36"/>
      <c r="C384" s="11" t="str">
        <f aca="false">IF(B384="","",IFERROR(INDEX(Leads!$C:$C,MATCH(B384,Leads!$A:$A,0)),"ID not found"))</f>
        <v/>
      </c>
      <c r="D384" s="11" t="str">
        <f aca="false">IF(B384="","",IFERROR(INDEX(Leads!$B:$B,MATCH(B384,Leads!$A:$A,0)),""))</f>
        <v/>
      </c>
      <c r="E384" s="36"/>
      <c r="F384" s="36"/>
      <c r="G384" s="36"/>
      <c r="H384" s="35"/>
      <c r="I384" s="36"/>
    </row>
    <row r="385" customFormat="false" ht="15" hidden="false" customHeight="false" outlineLevel="0" collapsed="false">
      <c r="A385" s="35"/>
      <c r="B385" s="36"/>
      <c r="C385" s="11" t="str">
        <f aca="false">IF(B385="","",IFERROR(INDEX(Leads!$C:$C,MATCH(B385,Leads!$A:$A,0)),"ID not found"))</f>
        <v/>
      </c>
      <c r="D385" s="11" t="str">
        <f aca="false">IF(B385="","",IFERROR(INDEX(Leads!$B:$B,MATCH(B385,Leads!$A:$A,0)),""))</f>
        <v/>
      </c>
      <c r="E385" s="36"/>
      <c r="F385" s="36"/>
      <c r="G385" s="36"/>
      <c r="H385" s="35"/>
      <c r="I385" s="36"/>
    </row>
    <row r="386" customFormat="false" ht="15" hidden="false" customHeight="false" outlineLevel="0" collapsed="false">
      <c r="A386" s="35"/>
      <c r="B386" s="36"/>
      <c r="C386" s="11" t="str">
        <f aca="false">IF(B386="","",IFERROR(INDEX(Leads!$C:$C,MATCH(B386,Leads!$A:$A,0)),"ID not found"))</f>
        <v/>
      </c>
      <c r="D386" s="11" t="str">
        <f aca="false">IF(B386="","",IFERROR(INDEX(Leads!$B:$B,MATCH(B386,Leads!$A:$A,0)),""))</f>
        <v/>
      </c>
      <c r="E386" s="36"/>
      <c r="F386" s="36"/>
      <c r="G386" s="36"/>
      <c r="H386" s="35"/>
      <c r="I386" s="36"/>
    </row>
    <row r="387" customFormat="false" ht="15" hidden="false" customHeight="false" outlineLevel="0" collapsed="false">
      <c r="A387" s="35"/>
      <c r="B387" s="36"/>
      <c r="C387" s="11" t="str">
        <f aca="false">IF(B387="","",IFERROR(INDEX(Leads!$C:$C,MATCH(B387,Leads!$A:$A,0)),"ID not found"))</f>
        <v/>
      </c>
      <c r="D387" s="11" t="str">
        <f aca="false">IF(B387="","",IFERROR(INDEX(Leads!$B:$B,MATCH(B387,Leads!$A:$A,0)),""))</f>
        <v/>
      </c>
      <c r="E387" s="36"/>
      <c r="F387" s="36"/>
      <c r="G387" s="36"/>
      <c r="H387" s="35"/>
      <c r="I387" s="36"/>
    </row>
    <row r="388" customFormat="false" ht="15" hidden="false" customHeight="false" outlineLevel="0" collapsed="false">
      <c r="A388" s="35"/>
      <c r="B388" s="36"/>
      <c r="C388" s="11" t="str">
        <f aca="false">IF(B388="","",IFERROR(INDEX(Leads!$C:$C,MATCH(B388,Leads!$A:$A,0)),"ID not found"))</f>
        <v/>
      </c>
      <c r="D388" s="11" t="str">
        <f aca="false">IF(B388="","",IFERROR(INDEX(Leads!$B:$B,MATCH(B388,Leads!$A:$A,0)),""))</f>
        <v/>
      </c>
      <c r="E388" s="36"/>
      <c r="F388" s="36"/>
      <c r="G388" s="36"/>
      <c r="H388" s="35"/>
      <c r="I388" s="36"/>
    </row>
    <row r="389" customFormat="false" ht="15" hidden="false" customHeight="false" outlineLevel="0" collapsed="false">
      <c r="A389" s="35"/>
      <c r="B389" s="36"/>
      <c r="C389" s="11" t="str">
        <f aca="false">IF(B389="","",IFERROR(INDEX(Leads!$C:$C,MATCH(B389,Leads!$A:$A,0)),"ID not found"))</f>
        <v/>
      </c>
      <c r="D389" s="11" t="str">
        <f aca="false">IF(B389="","",IFERROR(INDEX(Leads!$B:$B,MATCH(B389,Leads!$A:$A,0)),""))</f>
        <v/>
      </c>
      <c r="E389" s="36"/>
      <c r="F389" s="36"/>
      <c r="G389" s="36"/>
      <c r="H389" s="35"/>
      <c r="I389" s="36"/>
    </row>
    <row r="390" customFormat="false" ht="15" hidden="false" customHeight="false" outlineLevel="0" collapsed="false">
      <c r="A390" s="35"/>
      <c r="B390" s="36"/>
      <c r="C390" s="11" t="str">
        <f aca="false">IF(B390="","",IFERROR(INDEX(Leads!$C:$C,MATCH(B390,Leads!$A:$A,0)),"ID not found"))</f>
        <v/>
      </c>
      <c r="D390" s="11" t="str">
        <f aca="false">IF(B390="","",IFERROR(INDEX(Leads!$B:$B,MATCH(B390,Leads!$A:$A,0)),""))</f>
        <v/>
      </c>
      <c r="E390" s="36"/>
      <c r="F390" s="36"/>
      <c r="G390" s="36"/>
      <c r="H390" s="35"/>
      <c r="I390" s="36"/>
    </row>
    <row r="391" customFormat="false" ht="15" hidden="false" customHeight="false" outlineLevel="0" collapsed="false">
      <c r="A391" s="35"/>
      <c r="B391" s="36"/>
      <c r="C391" s="11" t="str">
        <f aca="false">IF(B391="","",IFERROR(INDEX(Leads!$C:$C,MATCH(B391,Leads!$A:$A,0)),"ID not found"))</f>
        <v/>
      </c>
      <c r="D391" s="11" t="str">
        <f aca="false">IF(B391="","",IFERROR(INDEX(Leads!$B:$B,MATCH(B391,Leads!$A:$A,0)),""))</f>
        <v/>
      </c>
      <c r="E391" s="36"/>
      <c r="F391" s="36"/>
      <c r="G391" s="36"/>
      <c r="H391" s="35"/>
      <c r="I391" s="36"/>
    </row>
    <row r="392" customFormat="false" ht="15" hidden="false" customHeight="false" outlineLevel="0" collapsed="false">
      <c r="A392" s="35"/>
      <c r="B392" s="36"/>
      <c r="C392" s="11" t="str">
        <f aca="false">IF(B392="","",IFERROR(INDEX(Leads!$C:$C,MATCH(B392,Leads!$A:$A,0)),"ID not found"))</f>
        <v/>
      </c>
      <c r="D392" s="11" t="str">
        <f aca="false">IF(B392="","",IFERROR(INDEX(Leads!$B:$B,MATCH(B392,Leads!$A:$A,0)),""))</f>
        <v/>
      </c>
      <c r="E392" s="36"/>
      <c r="F392" s="36"/>
      <c r="G392" s="36"/>
      <c r="H392" s="35"/>
      <c r="I392" s="36"/>
    </row>
    <row r="393" customFormat="false" ht="15" hidden="false" customHeight="false" outlineLevel="0" collapsed="false">
      <c r="A393" s="35"/>
      <c r="B393" s="36"/>
      <c r="C393" s="11" t="str">
        <f aca="false">IF(B393="","",IFERROR(INDEX(Leads!$C:$C,MATCH(B393,Leads!$A:$A,0)),"ID not found"))</f>
        <v/>
      </c>
      <c r="D393" s="11" t="str">
        <f aca="false">IF(B393="","",IFERROR(INDEX(Leads!$B:$B,MATCH(B393,Leads!$A:$A,0)),""))</f>
        <v/>
      </c>
      <c r="E393" s="36"/>
      <c r="F393" s="36"/>
      <c r="G393" s="36"/>
      <c r="H393" s="35"/>
      <c r="I393" s="36"/>
    </row>
    <row r="394" customFormat="false" ht="15" hidden="false" customHeight="false" outlineLevel="0" collapsed="false">
      <c r="A394" s="35"/>
      <c r="B394" s="36"/>
      <c r="C394" s="11" t="str">
        <f aca="false">IF(B394="","",IFERROR(INDEX(Leads!$C:$C,MATCH(B394,Leads!$A:$A,0)),"ID not found"))</f>
        <v/>
      </c>
      <c r="D394" s="11" t="str">
        <f aca="false">IF(B394="","",IFERROR(INDEX(Leads!$B:$B,MATCH(B394,Leads!$A:$A,0)),""))</f>
        <v/>
      </c>
      <c r="E394" s="36"/>
      <c r="F394" s="36"/>
      <c r="G394" s="36"/>
      <c r="H394" s="35"/>
      <c r="I394" s="36"/>
    </row>
    <row r="395" customFormat="false" ht="15" hidden="false" customHeight="false" outlineLevel="0" collapsed="false">
      <c r="A395" s="35"/>
      <c r="B395" s="36"/>
      <c r="C395" s="11" t="str">
        <f aca="false">IF(B395="","",IFERROR(INDEX(Leads!$C:$C,MATCH(B395,Leads!$A:$A,0)),"ID not found"))</f>
        <v/>
      </c>
      <c r="D395" s="11" t="str">
        <f aca="false">IF(B395="","",IFERROR(INDEX(Leads!$B:$B,MATCH(B395,Leads!$A:$A,0)),""))</f>
        <v/>
      </c>
      <c r="E395" s="36"/>
      <c r="F395" s="36"/>
      <c r="G395" s="36"/>
      <c r="H395" s="35"/>
      <c r="I395" s="36"/>
    </row>
    <row r="396" customFormat="false" ht="15" hidden="false" customHeight="false" outlineLevel="0" collapsed="false">
      <c r="A396" s="35"/>
      <c r="B396" s="36"/>
      <c r="C396" s="11" t="str">
        <f aca="false">IF(B396="","",IFERROR(INDEX(Leads!$C:$C,MATCH(B396,Leads!$A:$A,0)),"ID not found"))</f>
        <v/>
      </c>
      <c r="D396" s="11" t="str">
        <f aca="false">IF(B396="","",IFERROR(INDEX(Leads!$B:$B,MATCH(B396,Leads!$A:$A,0)),""))</f>
        <v/>
      </c>
      <c r="E396" s="36"/>
      <c r="F396" s="36"/>
      <c r="G396" s="36"/>
      <c r="H396" s="35"/>
      <c r="I396" s="36"/>
    </row>
    <row r="397" customFormat="false" ht="15" hidden="false" customHeight="false" outlineLevel="0" collapsed="false">
      <c r="A397" s="35"/>
      <c r="B397" s="36"/>
      <c r="C397" s="11" t="str">
        <f aca="false">IF(B397="","",IFERROR(INDEX(Leads!$C:$C,MATCH(B397,Leads!$A:$A,0)),"ID not found"))</f>
        <v/>
      </c>
      <c r="D397" s="11" t="str">
        <f aca="false">IF(B397="","",IFERROR(INDEX(Leads!$B:$B,MATCH(B397,Leads!$A:$A,0)),""))</f>
        <v/>
      </c>
      <c r="E397" s="36"/>
      <c r="F397" s="36"/>
      <c r="G397" s="36"/>
      <c r="H397" s="35"/>
      <c r="I397" s="36"/>
    </row>
    <row r="398" customFormat="false" ht="15" hidden="false" customHeight="false" outlineLevel="0" collapsed="false">
      <c r="A398" s="35"/>
      <c r="B398" s="36"/>
      <c r="C398" s="11" t="str">
        <f aca="false">IF(B398="","",IFERROR(INDEX(Leads!$C:$C,MATCH(B398,Leads!$A:$A,0)),"ID not found"))</f>
        <v/>
      </c>
      <c r="D398" s="11" t="str">
        <f aca="false">IF(B398="","",IFERROR(INDEX(Leads!$B:$B,MATCH(B398,Leads!$A:$A,0)),""))</f>
        <v/>
      </c>
      <c r="E398" s="36"/>
      <c r="F398" s="36"/>
      <c r="G398" s="36"/>
      <c r="H398" s="35"/>
      <c r="I398" s="36"/>
    </row>
    <row r="399" customFormat="false" ht="15" hidden="false" customHeight="false" outlineLevel="0" collapsed="false">
      <c r="A399" s="35"/>
      <c r="B399" s="36"/>
      <c r="C399" s="11" t="str">
        <f aca="false">IF(B399="","",IFERROR(INDEX(Leads!$C:$C,MATCH(B399,Leads!$A:$A,0)),"ID not found"))</f>
        <v/>
      </c>
      <c r="D399" s="11" t="str">
        <f aca="false">IF(B399="","",IFERROR(INDEX(Leads!$B:$B,MATCH(B399,Leads!$A:$A,0)),""))</f>
        <v/>
      </c>
      <c r="E399" s="36"/>
      <c r="F399" s="36"/>
      <c r="G399" s="36"/>
      <c r="H399" s="35"/>
      <c r="I399" s="36"/>
    </row>
    <row r="400" customFormat="false" ht="15" hidden="false" customHeight="false" outlineLevel="0" collapsed="false">
      <c r="A400" s="35"/>
      <c r="B400" s="36"/>
      <c r="C400" s="11" t="str">
        <f aca="false">IF(B400="","",IFERROR(INDEX(Leads!$C:$C,MATCH(B400,Leads!$A:$A,0)),"ID not found"))</f>
        <v/>
      </c>
      <c r="D400" s="11" t="str">
        <f aca="false">IF(B400="","",IFERROR(INDEX(Leads!$B:$B,MATCH(B400,Leads!$A:$A,0)),""))</f>
        <v/>
      </c>
      <c r="E400" s="36"/>
      <c r="F400" s="36"/>
      <c r="G400" s="36"/>
      <c r="H400" s="35"/>
      <c r="I400" s="36"/>
    </row>
    <row r="401" customFormat="false" ht="15" hidden="false" customHeight="false" outlineLevel="0" collapsed="false">
      <c r="A401" s="35"/>
      <c r="B401" s="36"/>
      <c r="C401" s="11" t="str">
        <f aca="false">IF(B401="","",IFERROR(INDEX(Leads!$C:$C,MATCH(B401,Leads!$A:$A,0)),"ID not found"))</f>
        <v/>
      </c>
      <c r="D401" s="11" t="str">
        <f aca="false">IF(B401="","",IFERROR(INDEX(Leads!$B:$B,MATCH(B401,Leads!$A:$A,0)),""))</f>
        <v/>
      </c>
      <c r="E401" s="36"/>
      <c r="F401" s="36"/>
      <c r="G401" s="36"/>
      <c r="H401" s="35"/>
      <c r="I401" s="36"/>
    </row>
    <row r="402" customFormat="false" ht="15" hidden="false" customHeight="false" outlineLevel="0" collapsed="false">
      <c r="A402" s="35"/>
      <c r="B402" s="36"/>
      <c r="C402" s="11" t="str">
        <f aca="false">IF(B402="","",IFERROR(INDEX(Leads!$C:$C,MATCH(B402,Leads!$A:$A,0)),"ID not found"))</f>
        <v/>
      </c>
      <c r="D402" s="11" t="str">
        <f aca="false">IF(B402="","",IFERROR(INDEX(Leads!$B:$B,MATCH(B402,Leads!$A:$A,0)),""))</f>
        <v/>
      </c>
      <c r="E402" s="36"/>
      <c r="F402" s="36"/>
      <c r="G402" s="36"/>
      <c r="H402" s="35"/>
      <c r="I402" s="36"/>
    </row>
    <row r="403" customFormat="false" ht="15" hidden="false" customHeight="false" outlineLevel="0" collapsed="false">
      <c r="A403" s="35"/>
      <c r="B403" s="36"/>
      <c r="C403" s="11" t="str">
        <f aca="false">IF(B403="","",IFERROR(INDEX(Leads!$C:$C,MATCH(B403,Leads!$A:$A,0)),"ID not found"))</f>
        <v/>
      </c>
      <c r="D403" s="11" t="str">
        <f aca="false">IF(B403="","",IFERROR(INDEX(Leads!$B:$B,MATCH(B403,Leads!$A:$A,0)),""))</f>
        <v/>
      </c>
      <c r="E403" s="36"/>
      <c r="F403" s="36"/>
      <c r="G403" s="36"/>
      <c r="H403" s="35"/>
      <c r="I403" s="36"/>
    </row>
    <row r="404" customFormat="false" ht="15" hidden="false" customHeight="false" outlineLevel="0" collapsed="false">
      <c r="A404" s="35"/>
      <c r="B404" s="36"/>
      <c r="C404" s="11" t="str">
        <f aca="false">IF(B404="","",IFERROR(INDEX(Leads!$C:$C,MATCH(B404,Leads!$A:$A,0)),"ID not found"))</f>
        <v/>
      </c>
      <c r="D404" s="11" t="str">
        <f aca="false">IF(B404="","",IFERROR(INDEX(Leads!$B:$B,MATCH(B404,Leads!$A:$A,0)),""))</f>
        <v/>
      </c>
      <c r="E404" s="36"/>
      <c r="F404" s="36"/>
      <c r="G404" s="36"/>
      <c r="H404" s="35"/>
      <c r="I404" s="36"/>
    </row>
    <row r="405" customFormat="false" ht="15" hidden="false" customHeight="false" outlineLevel="0" collapsed="false">
      <c r="A405" s="35"/>
      <c r="B405" s="36"/>
      <c r="C405" s="11" t="str">
        <f aca="false">IF(B405="","",IFERROR(INDEX(Leads!$C:$C,MATCH(B405,Leads!$A:$A,0)),"ID not found"))</f>
        <v/>
      </c>
      <c r="D405" s="11" t="str">
        <f aca="false">IF(B405="","",IFERROR(INDEX(Leads!$B:$B,MATCH(B405,Leads!$A:$A,0)),""))</f>
        <v/>
      </c>
      <c r="E405" s="36"/>
      <c r="F405" s="36"/>
      <c r="G405" s="36"/>
      <c r="H405" s="35"/>
      <c r="I405" s="36"/>
    </row>
    <row r="406" customFormat="false" ht="15" hidden="false" customHeight="false" outlineLevel="0" collapsed="false">
      <c r="A406" s="35"/>
      <c r="B406" s="36"/>
      <c r="C406" s="11" t="str">
        <f aca="false">IF(B406="","",IFERROR(INDEX(Leads!$C:$C,MATCH(B406,Leads!$A:$A,0)),"ID not found"))</f>
        <v/>
      </c>
      <c r="D406" s="11" t="str">
        <f aca="false">IF(B406="","",IFERROR(INDEX(Leads!$B:$B,MATCH(B406,Leads!$A:$A,0)),""))</f>
        <v/>
      </c>
      <c r="E406" s="36"/>
      <c r="F406" s="36"/>
      <c r="G406" s="36"/>
      <c r="H406" s="35"/>
      <c r="I406" s="36"/>
    </row>
    <row r="407" customFormat="false" ht="15" hidden="false" customHeight="false" outlineLevel="0" collapsed="false">
      <c r="A407" s="35"/>
      <c r="B407" s="36"/>
      <c r="C407" s="11" t="str">
        <f aca="false">IF(B407="","",IFERROR(INDEX(Leads!$C:$C,MATCH(B407,Leads!$A:$A,0)),"ID not found"))</f>
        <v/>
      </c>
      <c r="D407" s="11" t="str">
        <f aca="false">IF(B407="","",IFERROR(INDEX(Leads!$B:$B,MATCH(B407,Leads!$A:$A,0)),""))</f>
        <v/>
      </c>
      <c r="E407" s="36"/>
      <c r="F407" s="36"/>
      <c r="G407" s="36"/>
      <c r="H407" s="35"/>
      <c r="I407" s="36"/>
    </row>
    <row r="408" customFormat="false" ht="15" hidden="false" customHeight="false" outlineLevel="0" collapsed="false">
      <c r="A408" s="35"/>
      <c r="B408" s="36"/>
      <c r="C408" s="11" t="str">
        <f aca="false">IF(B408="","",IFERROR(INDEX(Leads!$C:$C,MATCH(B408,Leads!$A:$A,0)),"ID not found"))</f>
        <v/>
      </c>
      <c r="D408" s="11" t="str">
        <f aca="false">IF(B408="","",IFERROR(INDEX(Leads!$B:$B,MATCH(B408,Leads!$A:$A,0)),""))</f>
        <v/>
      </c>
      <c r="E408" s="36"/>
      <c r="F408" s="36"/>
      <c r="G408" s="36"/>
      <c r="H408" s="35"/>
      <c r="I408" s="36"/>
    </row>
    <row r="409" customFormat="false" ht="15" hidden="false" customHeight="false" outlineLevel="0" collapsed="false">
      <c r="A409" s="35"/>
      <c r="B409" s="36"/>
      <c r="C409" s="11" t="str">
        <f aca="false">IF(B409="","",IFERROR(INDEX(Leads!$C:$C,MATCH(B409,Leads!$A:$A,0)),"ID not found"))</f>
        <v/>
      </c>
      <c r="D409" s="11" t="str">
        <f aca="false">IF(B409="","",IFERROR(INDEX(Leads!$B:$B,MATCH(B409,Leads!$A:$A,0)),""))</f>
        <v/>
      </c>
      <c r="E409" s="36"/>
      <c r="F409" s="36"/>
      <c r="G409" s="36"/>
      <c r="H409" s="35"/>
      <c r="I409" s="36"/>
    </row>
    <row r="410" customFormat="false" ht="15" hidden="false" customHeight="false" outlineLevel="0" collapsed="false">
      <c r="A410" s="35"/>
      <c r="B410" s="36"/>
      <c r="C410" s="11" t="str">
        <f aca="false">IF(B410="","",IFERROR(INDEX(Leads!$C:$C,MATCH(B410,Leads!$A:$A,0)),"ID not found"))</f>
        <v/>
      </c>
      <c r="D410" s="11" t="str">
        <f aca="false">IF(B410="","",IFERROR(INDEX(Leads!$B:$B,MATCH(B410,Leads!$A:$A,0)),""))</f>
        <v/>
      </c>
      <c r="E410" s="36"/>
      <c r="F410" s="36"/>
      <c r="G410" s="36"/>
      <c r="H410" s="35"/>
      <c r="I410" s="36"/>
    </row>
    <row r="411" customFormat="false" ht="15" hidden="false" customHeight="false" outlineLevel="0" collapsed="false">
      <c r="A411" s="35"/>
      <c r="B411" s="36"/>
      <c r="C411" s="11" t="str">
        <f aca="false">IF(B411="","",IFERROR(INDEX(Leads!$C:$C,MATCH(B411,Leads!$A:$A,0)),"ID not found"))</f>
        <v/>
      </c>
      <c r="D411" s="11" t="str">
        <f aca="false">IF(B411="","",IFERROR(INDEX(Leads!$B:$B,MATCH(B411,Leads!$A:$A,0)),""))</f>
        <v/>
      </c>
      <c r="E411" s="36"/>
      <c r="F411" s="36"/>
      <c r="G411" s="36"/>
      <c r="H411" s="35"/>
      <c r="I411" s="36"/>
    </row>
    <row r="412" customFormat="false" ht="15" hidden="false" customHeight="false" outlineLevel="0" collapsed="false">
      <c r="A412" s="35"/>
      <c r="B412" s="36"/>
      <c r="C412" s="11" t="str">
        <f aca="false">IF(B412="","",IFERROR(INDEX(Leads!$C:$C,MATCH(B412,Leads!$A:$A,0)),"ID not found"))</f>
        <v/>
      </c>
      <c r="D412" s="11" t="str">
        <f aca="false">IF(B412="","",IFERROR(INDEX(Leads!$B:$B,MATCH(B412,Leads!$A:$A,0)),""))</f>
        <v/>
      </c>
      <c r="E412" s="36"/>
      <c r="F412" s="36"/>
      <c r="G412" s="36"/>
      <c r="H412" s="35"/>
      <c r="I412" s="36"/>
    </row>
    <row r="413" customFormat="false" ht="15" hidden="false" customHeight="false" outlineLevel="0" collapsed="false">
      <c r="A413" s="35"/>
      <c r="B413" s="36"/>
      <c r="C413" s="11" t="str">
        <f aca="false">IF(B413="","",IFERROR(INDEX(Leads!$C:$C,MATCH(B413,Leads!$A:$A,0)),"ID not found"))</f>
        <v/>
      </c>
      <c r="D413" s="11" t="str">
        <f aca="false">IF(B413="","",IFERROR(INDEX(Leads!$B:$B,MATCH(B413,Leads!$A:$A,0)),""))</f>
        <v/>
      </c>
      <c r="E413" s="36"/>
      <c r="F413" s="36"/>
      <c r="G413" s="36"/>
      <c r="H413" s="35"/>
      <c r="I413" s="36"/>
    </row>
    <row r="414" customFormat="false" ht="15" hidden="false" customHeight="false" outlineLevel="0" collapsed="false">
      <c r="A414" s="35"/>
      <c r="B414" s="36"/>
      <c r="C414" s="11" t="str">
        <f aca="false">IF(B414="","",IFERROR(INDEX(Leads!$C:$C,MATCH(B414,Leads!$A:$A,0)),"ID not found"))</f>
        <v/>
      </c>
      <c r="D414" s="11" t="str">
        <f aca="false">IF(B414="","",IFERROR(INDEX(Leads!$B:$B,MATCH(B414,Leads!$A:$A,0)),""))</f>
        <v/>
      </c>
      <c r="E414" s="36"/>
      <c r="F414" s="36"/>
      <c r="G414" s="36"/>
      <c r="H414" s="35"/>
      <c r="I414" s="36"/>
    </row>
    <row r="415" customFormat="false" ht="15" hidden="false" customHeight="false" outlineLevel="0" collapsed="false">
      <c r="A415" s="35"/>
      <c r="B415" s="36"/>
      <c r="C415" s="11" t="str">
        <f aca="false">IF(B415="","",IFERROR(INDEX(Leads!$C:$C,MATCH(B415,Leads!$A:$A,0)),"ID not found"))</f>
        <v/>
      </c>
      <c r="D415" s="11" t="str">
        <f aca="false">IF(B415="","",IFERROR(INDEX(Leads!$B:$B,MATCH(B415,Leads!$A:$A,0)),""))</f>
        <v/>
      </c>
      <c r="E415" s="36"/>
      <c r="F415" s="36"/>
      <c r="G415" s="36"/>
      <c r="H415" s="35"/>
      <c r="I415" s="36"/>
    </row>
    <row r="416" customFormat="false" ht="15" hidden="false" customHeight="false" outlineLevel="0" collapsed="false">
      <c r="A416" s="35"/>
      <c r="B416" s="36"/>
      <c r="C416" s="11" t="str">
        <f aca="false">IF(B416="","",IFERROR(INDEX(Leads!$C:$C,MATCH(B416,Leads!$A:$A,0)),"ID not found"))</f>
        <v/>
      </c>
      <c r="D416" s="11" t="str">
        <f aca="false">IF(B416="","",IFERROR(INDEX(Leads!$B:$B,MATCH(B416,Leads!$A:$A,0)),""))</f>
        <v/>
      </c>
      <c r="E416" s="36"/>
      <c r="F416" s="36"/>
      <c r="G416" s="36"/>
      <c r="H416" s="35"/>
      <c r="I416" s="36"/>
    </row>
    <row r="417" customFormat="false" ht="15" hidden="false" customHeight="false" outlineLevel="0" collapsed="false">
      <c r="A417" s="35"/>
      <c r="B417" s="36"/>
      <c r="C417" s="11" t="str">
        <f aca="false">IF(B417="","",IFERROR(INDEX(Leads!$C:$C,MATCH(B417,Leads!$A:$A,0)),"ID not found"))</f>
        <v/>
      </c>
      <c r="D417" s="11" t="str">
        <f aca="false">IF(B417="","",IFERROR(INDEX(Leads!$B:$B,MATCH(B417,Leads!$A:$A,0)),""))</f>
        <v/>
      </c>
      <c r="E417" s="36"/>
      <c r="F417" s="36"/>
      <c r="G417" s="36"/>
      <c r="H417" s="35"/>
      <c r="I417" s="36"/>
    </row>
    <row r="418" customFormat="false" ht="15" hidden="false" customHeight="false" outlineLevel="0" collapsed="false">
      <c r="A418" s="35"/>
      <c r="B418" s="36"/>
      <c r="C418" s="11" t="str">
        <f aca="false">IF(B418="","",IFERROR(INDEX(Leads!$C:$C,MATCH(B418,Leads!$A:$A,0)),"ID not found"))</f>
        <v/>
      </c>
      <c r="D418" s="11" t="str">
        <f aca="false">IF(B418="","",IFERROR(INDEX(Leads!$B:$B,MATCH(B418,Leads!$A:$A,0)),""))</f>
        <v/>
      </c>
      <c r="E418" s="36"/>
      <c r="F418" s="36"/>
      <c r="G418" s="36"/>
      <c r="H418" s="35"/>
      <c r="I418" s="36"/>
    </row>
    <row r="419" customFormat="false" ht="15" hidden="false" customHeight="false" outlineLevel="0" collapsed="false">
      <c r="A419" s="35"/>
      <c r="B419" s="36"/>
      <c r="C419" s="11" t="str">
        <f aca="false">IF(B419="","",IFERROR(INDEX(Leads!$C:$C,MATCH(B419,Leads!$A:$A,0)),"ID not found"))</f>
        <v/>
      </c>
      <c r="D419" s="11" t="str">
        <f aca="false">IF(B419="","",IFERROR(INDEX(Leads!$B:$B,MATCH(B419,Leads!$A:$A,0)),""))</f>
        <v/>
      </c>
      <c r="E419" s="36"/>
      <c r="F419" s="36"/>
      <c r="G419" s="36"/>
      <c r="H419" s="35"/>
      <c r="I419" s="36"/>
    </row>
    <row r="420" customFormat="false" ht="15" hidden="false" customHeight="false" outlineLevel="0" collapsed="false">
      <c r="A420" s="35"/>
      <c r="B420" s="36"/>
      <c r="C420" s="11" t="str">
        <f aca="false">IF(B420="","",IFERROR(INDEX(Leads!$C:$C,MATCH(B420,Leads!$A:$A,0)),"ID not found"))</f>
        <v/>
      </c>
      <c r="D420" s="11" t="str">
        <f aca="false">IF(B420="","",IFERROR(INDEX(Leads!$B:$B,MATCH(B420,Leads!$A:$A,0)),""))</f>
        <v/>
      </c>
      <c r="E420" s="36"/>
      <c r="F420" s="36"/>
      <c r="G420" s="36"/>
      <c r="H420" s="35"/>
      <c r="I420" s="36"/>
    </row>
    <row r="421" customFormat="false" ht="15" hidden="false" customHeight="false" outlineLevel="0" collapsed="false">
      <c r="A421" s="35"/>
      <c r="B421" s="36"/>
      <c r="C421" s="11" t="str">
        <f aca="false">IF(B421="","",IFERROR(INDEX(Leads!$C:$C,MATCH(B421,Leads!$A:$A,0)),"ID not found"))</f>
        <v/>
      </c>
      <c r="D421" s="11" t="str">
        <f aca="false">IF(B421="","",IFERROR(INDEX(Leads!$B:$B,MATCH(B421,Leads!$A:$A,0)),""))</f>
        <v/>
      </c>
      <c r="E421" s="36"/>
      <c r="F421" s="36"/>
      <c r="G421" s="36"/>
      <c r="H421" s="35"/>
      <c r="I421" s="36"/>
    </row>
    <row r="422" customFormat="false" ht="15" hidden="false" customHeight="false" outlineLevel="0" collapsed="false">
      <c r="A422" s="35"/>
      <c r="B422" s="36"/>
      <c r="C422" s="11" t="str">
        <f aca="false">IF(B422="","",IFERROR(INDEX(Leads!$C:$C,MATCH(B422,Leads!$A:$A,0)),"ID not found"))</f>
        <v/>
      </c>
      <c r="D422" s="11" t="str">
        <f aca="false">IF(B422="","",IFERROR(INDEX(Leads!$B:$B,MATCH(B422,Leads!$A:$A,0)),""))</f>
        <v/>
      </c>
      <c r="E422" s="36"/>
      <c r="F422" s="36"/>
      <c r="G422" s="36"/>
      <c r="H422" s="35"/>
      <c r="I422" s="36"/>
    </row>
    <row r="423" customFormat="false" ht="15" hidden="false" customHeight="false" outlineLevel="0" collapsed="false">
      <c r="A423" s="35"/>
      <c r="B423" s="36"/>
      <c r="C423" s="11" t="str">
        <f aca="false">IF(B423="","",IFERROR(INDEX(Leads!$C:$C,MATCH(B423,Leads!$A:$A,0)),"ID not found"))</f>
        <v/>
      </c>
      <c r="D423" s="11" t="str">
        <f aca="false">IF(B423="","",IFERROR(INDEX(Leads!$B:$B,MATCH(B423,Leads!$A:$A,0)),""))</f>
        <v/>
      </c>
      <c r="E423" s="36"/>
      <c r="F423" s="36"/>
      <c r="G423" s="36"/>
      <c r="H423" s="35"/>
      <c r="I423" s="36"/>
    </row>
    <row r="424" customFormat="false" ht="15" hidden="false" customHeight="false" outlineLevel="0" collapsed="false">
      <c r="A424" s="35"/>
      <c r="B424" s="36"/>
      <c r="C424" s="11" t="str">
        <f aca="false">IF(B424="","",IFERROR(INDEX(Leads!$C:$C,MATCH(B424,Leads!$A:$A,0)),"ID not found"))</f>
        <v/>
      </c>
      <c r="D424" s="11" t="str">
        <f aca="false">IF(B424="","",IFERROR(INDEX(Leads!$B:$B,MATCH(B424,Leads!$A:$A,0)),""))</f>
        <v/>
      </c>
      <c r="E424" s="36"/>
      <c r="F424" s="36"/>
      <c r="G424" s="36"/>
      <c r="H424" s="35"/>
      <c r="I424" s="36"/>
    </row>
    <row r="425" customFormat="false" ht="15" hidden="false" customHeight="false" outlineLevel="0" collapsed="false">
      <c r="A425" s="35"/>
      <c r="B425" s="36"/>
      <c r="C425" s="11" t="str">
        <f aca="false">IF(B425="","",IFERROR(INDEX(Leads!$C:$C,MATCH(B425,Leads!$A:$A,0)),"ID not found"))</f>
        <v/>
      </c>
      <c r="D425" s="11" t="str">
        <f aca="false">IF(B425="","",IFERROR(INDEX(Leads!$B:$B,MATCH(B425,Leads!$A:$A,0)),""))</f>
        <v/>
      </c>
      <c r="E425" s="36"/>
      <c r="F425" s="36"/>
      <c r="G425" s="36"/>
      <c r="H425" s="35"/>
      <c r="I425" s="36"/>
    </row>
    <row r="426" customFormat="false" ht="15" hidden="false" customHeight="false" outlineLevel="0" collapsed="false">
      <c r="A426" s="35"/>
      <c r="B426" s="36"/>
      <c r="C426" s="11" t="str">
        <f aca="false">IF(B426="","",IFERROR(INDEX(Leads!$C:$C,MATCH(B426,Leads!$A:$A,0)),"ID not found"))</f>
        <v/>
      </c>
      <c r="D426" s="11" t="str">
        <f aca="false">IF(B426="","",IFERROR(INDEX(Leads!$B:$B,MATCH(B426,Leads!$A:$A,0)),""))</f>
        <v/>
      </c>
      <c r="E426" s="36"/>
      <c r="F426" s="36"/>
      <c r="G426" s="36"/>
      <c r="H426" s="35"/>
      <c r="I426" s="36"/>
    </row>
    <row r="427" customFormat="false" ht="15" hidden="false" customHeight="false" outlineLevel="0" collapsed="false">
      <c r="A427" s="35"/>
      <c r="B427" s="36"/>
      <c r="C427" s="11" t="str">
        <f aca="false">IF(B427="","",IFERROR(INDEX(Leads!$C:$C,MATCH(B427,Leads!$A:$A,0)),"ID not found"))</f>
        <v/>
      </c>
      <c r="D427" s="11" t="str">
        <f aca="false">IF(B427="","",IFERROR(INDEX(Leads!$B:$B,MATCH(B427,Leads!$A:$A,0)),""))</f>
        <v/>
      </c>
      <c r="E427" s="36"/>
      <c r="F427" s="36"/>
      <c r="G427" s="36"/>
      <c r="H427" s="35"/>
      <c r="I427" s="36"/>
    </row>
    <row r="428" customFormat="false" ht="15" hidden="false" customHeight="false" outlineLevel="0" collapsed="false">
      <c r="A428" s="35"/>
      <c r="B428" s="36"/>
      <c r="C428" s="11" t="str">
        <f aca="false">IF(B428="","",IFERROR(INDEX(Leads!$C:$C,MATCH(B428,Leads!$A:$A,0)),"ID not found"))</f>
        <v/>
      </c>
      <c r="D428" s="11" t="str">
        <f aca="false">IF(B428="","",IFERROR(INDEX(Leads!$B:$B,MATCH(B428,Leads!$A:$A,0)),""))</f>
        <v/>
      </c>
      <c r="E428" s="36"/>
      <c r="F428" s="36"/>
      <c r="G428" s="36"/>
      <c r="H428" s="35"/>
      <c r="I428" s="36"/>
    </row>
    <row r="429" customFormat="false" ht="15" hidden="false" customHeight="false" outlineLevel="0" collapsed="false">
      <c r="A429" s="35"/>
      <c r="B429" s="36"/>
      <c r="C429" s="11" t="str">
        <f aca="false">IF(B429="","",IFERROR(INDEX(Leads!$C:$C,MATCH(B429,Leads!$A:$A,0)),"ID not found"))</f>
        <v/>
      </c>
      <c r="D429" s="11" t="str">
        <f aca="false">IF(B429="","",IFERROR(INDEX(Leads!$B:$B,MATCH(B429,Leads!$A:$A,0)),""))</f>
        <v/>
      </c>
      <c r="E429" s="36"/>
      <c r="F429" s="36"/>
      <c r="G429" s="36"/>
      <c r="H429" s="35"/>
      <c r="I429" s="36"/>
    </row>
    <row r="430" customFormat="false" ht="15" hidden="false" customHeight="false" outlineLevel="0" collapsed="false">
      <c r="A430" s="35"/>
      <c r="B430" s="36"/>
      <c r="C430" s="11" t="str">
        <f aca="false">IF(B430="","",IFERROR(INDEX(Leads!$C:$C,MATCH(B430,Leads!$A:$A,0)),"ID not found"))</f>
        <v/>
      </c>
      <c r="D430" s="11" t="str">
        <f aca="false">IF(B430="","",IFERROR(INDEX(Leads!$B:$B,MATCH(B430,Leads!$A:$A,0)),""))</f>
        <v/>
      </c>
      <c r="E430" s="36"/>
      <c r="F430" s="36"/>
      <c r="G430" s="36"/>
      <c r="H430" s="35"/>
      <c r="I430" s="36"/>
    </row>
    <row r="431" customFormat="false" ht="15" hidden="false" customHeight="false" outlineLevel="0" collapsed="false">
      <c r="A431" s="35"/>
      <c r="B431" s="36"/>
      <c r="C431" s="11" t="str">
        <f aca="false">IF(B431="","",IFERROR(INDEX(Leads!$C:$C,MATCH(B431,Leads!$A:$A,0)),"ID not found"))</f>
        <v/>
      </c>
      <c r="D431" s="11" t="str">
        <f aca="false">IF(B431="","",IFERROR(INDEX(Leads!$B:$B,MATCH(B431,Leads!$A:$A,0)),""))</f>
        <v/>
      </c>
      <c r="E431" s="36"/>
      <c r="F431" s="36"/>
      <c r="G431" s="36"/>
      <c r="H431" s="35"/>
      <c r="I431" s="36"/>
    </row>
    <row r="432" customFormat="false" ht="15" hidden="false" customHeight="false" outlineLevel="0" collapsed="false">
      <c r="A432" s="35"/>
      <c r="B432" s="36"/>
      <c r="C432" s="11" t="str">
        <f aca="false">IF(B432="","",IFERROR(INDEX(Leads!$C:$C,MATCH(B432,Leads!$A:$A,0)),"ID not found"))</f>
        <v/>
      </c>
      <c r="D432" s="11" t="str">
        <f aca="false">IF(B432="","",IFERROR(INDEX(Leads!$B:$B,MATCH(B432,Leads!$A:$A,0)),""))</f>
        <v/>
      </c>
      <c r="E432" s="36"/>
      <c r="F432" s="36"/>
      <c r="G432" s="36"/>
      <c r="H432" s="35"/>
      <c r="I432" s="36"/>
    </row>
    <row r="433" customFormat="false" ht="15" hidden="false" customHeight="false" outlineLevel="0" collapsed="false">
      <c r="A433" s="35"/>
      <c r="B433" s="36"/>
      <c r="C433" s="11" t="str">
        <f aca="false">IF(B433="","",IFERROR(INDEX(Leads!$C:$C,MATCH(B433,Leads!$A:$A,0)),"ID not found"))</f>
        <v/>
      </c>
      <c r="D433" s="11" t="str">
        <f aca="false">IF(B433="","",IFERROR(INDEX(Leads!$B:$B,MATCH(B433,Leads!$A:$A,0)),""))</f>
        <v/>
      </c>
      <c r="E433" s="36"/>
      <c r="F433" s="36"/>
      <c r="G433" s="36"/>
      <c r="H433" s="35"/>
      <c r="I433" s="36"/>
    </row>
    <row r="434" customFormat="false" ht="15" hidden="false" customHeight="false" outlineLevel="0" collapsed="false">
      <c r="A434" s="35"/>
      <c r="B434" s="36"/>
      <c r="C434" s="11" t="str">
        <f aca="false">IF(B434="","",IFERROR(INDEX(Leads!$C:$C,MATCH(B434,Leads!$A:$A,0)),"ID not found"))</f>
        <v/>
      </c>
      <c r="D434" s="11" t="str">
        <f aca="false">IF(B434="","",IFERROR(INDEX(Leads!$B:$B,MATCH(B434,Leads!$A:$A,0)),""))</f>
        <v/>
      </c>
      <c r="E434" s="36"/>
      <c r="F434" s="36"/>
      <c r="G434" s="36"/>
      <c r="H434" s="35"/>
      <c r="I434" s="36"/>
    </row>
    <row r="435" customFormat="false" ht="15" hidden="false" customHeight="false" outlineLevel="0" collapsed="false">
      <c r="A435" s="35"/>
      <c r="B435" s="36"/>
      <c r="C435" s="11" t="str">
        <f aca="false">IF(B435="","",IFERROR(INDEX(Leads!$C:$C,MATCH(B435,Leads!$A:$A,0)),"ID not found"))</f>
        <v/>
      </c>
      <c r="D435" s="11" t="str">
        <f aca="false">IF(B435="","",IFERROR(INDEX(Leads!$B:$B,MATCH(B435,Leads!$A:$A,0)),""))</f>
        <v/>
      </c>
      <c r="E435" s="36"/>
      <c r="F435" s="36"/>
      <c r="G435" s="36"/>
      <c r="H435" s="35"/>
      <c r="I435" s="36"/>
    </row>
    <row r="436" customFormat="false" ht="15" hidden="false" customHeight="false" outlineLevel="0" collapsed="false">
      <c r="A436" s="35"/>
      <c r="B436" s="36"/>
      <c r="C436" s="11" t="str">
        <f aca="false">IF(B436="","",IFERROR(INDEX(Leads!$C:$C,MATCH(B436,Leads!$A:$A,0)),"ID not found"))</f>
        <v/>
      </c>
      <c r="D436" s="11" t="str">
        <f aca="false">IF(B436="","",IFERROR(INDEX(Leads!$B:$B,MATCH(B436,Leads!$A:$A,0)),""))</f>
        <v/>
      </c>
      <c r="E436" s="36"/>
      <c r="F436" s="36"/>
      <c r="G436" s="36"/>
      <c r="H436" s="35"/>
      <c r="I436" s="36"/>
    </row>
    <row r="437" customFormat="false" ht="15" hidden="false" customHeight="false" outlineLevel="0" collapsed="false">
      <c r="A437" s="35"/>
      <c r="B437" s="36"/>
      <c r="C437" s="11" t="str">
        <f aca="false">IF(B437="","",IFERROR(INDEX(Leads!$C:$C,MATCH(B437,Leads!$A:$A,0)),"ID not found"))</f>
        <v/>
      </c>
      <c r="D437" s="11" t="str">
        <f aca="false">IF(B437="","",IFERROR(INDEX(Leads!$B:$B,MATCH(B437,Leads!$A:$A,0)),""))</f>
        <v/>
      </c>
      <c r="E437" s="36"/>
      <c r="F437" s="36"/>
      <c r="G437" s="36"/>
      <c r="H437" s="35"/>
      <c r="I437" s="36"/>
    </row>
    <row r="438" customFormat="false" ht="15" hidden="false" customHeight="false" outlineLevel="0" collapsed="false">
      <c r="A438" s="35"/>
      <c r="B438" s="36"/>
      <c r="C438" s="11" t="str">
        <f aca="false">IF(B438="","",IFERROR(INDEX(Leads!$C:$C,MATCH(B438,Leads!$A:$A,0)),"ID not found"))</f>
        <v/>
      </c>
      <c r="D438" s="11" t="str">
        <f aca="false">IF(B438="","",IFERROR(INDEX(Leads!$B:$B,MATCH(B438,Leads!$A:$A,0)),""))</f>
        <v/>
      </c>
      <c r="E438" s="36"/>
      <c r="F438" s="36"/>
      <c r="G438" s="36"/>
      <c r="H438" s="35"/>
      <c r="I438" s="36"/>
    </row>
    <row r="439" customFormat="false" ht="15" hidden="false" customHeight="false" outlineLevel="0" collapsed="false">
      <c r="A439" s="35"/>
      <c r="B439" s="36"/>
      <c r="C439" s="11" t="str">
        <f aca="false">IF(B439="","",IFERROR(INDEX(Leads!$C:$C,MATCH(B439,Leads!$A:$A,0)),"ID not found"))</f>
        <v/>
      </c>
      <c r="D439" s="11" t="str">
        <f aca="false">IF(B439="","",IFERROR(INDEX(Leads!$B:$B,MATCH(B439,Leads!$A:$A,0)),""))</f>
        <v/>
      </c>
      <c r="E439" s="36"/>
      <c r="F439" s="36"/>
      <c r="G439" s="36"/>
      <c r="H439" s="35"/>
      <c r="I439" s="36"/>
    </row>
    <row r="440" customFormat="false" ht="15" hidden="false" customHeight="false" outlineLevel="0" collapsed="false">
      <c r="A440" s="35"/>
      <c r="B440" s="36"/>
      <c r="C440" s="11" t="str">
        <f aca="false">IF(B440="","",IFERROR(INDEX(Leads!$C:$C,MATCH(B440,Leads!$A:$A,0)),"ID not found"))</f>
        <v/>
      </c>
      <c r="D440" s="11" t="str">
        <f aca="false">IF(B440="","",IFERROR(INDEX(Leads!$B:$B,MATCH(B440,Leads!$A:$A,0)),""))</f>
        <v/>
      </c>
      <c r="E440" s="36"/>
      <c r="F440" s="36"/>
      <c r="G440" s="36"/>
      <c r="H440" s="35"/>
      <c r="I440" s="36"/>
    </row>
    <row r="441" customFormat="false" ht="15" hidden="false" customHeight="false" outlineLevel="0" collapsed="false">
      <c r="A441" s="35"/>
      <c r="B441" s="36"/>
      <c r="C441" s="11" t="str">
        <f aca="false">IF(B441="","",IFERROR(INDEX(Leads!$C:$C,MATCH(B441,Leads!$A:$A,0)),"ID not found"))</f>
        <v/>
      </c>
      <c r="D441" s="11" t="str">
        <f aca="false">IF(B441="","",IFERROR(INDEX(Leads!$B:$B,MATCH(B441,Leads!$A:$A,0)),""))</f>
        <v/>
      </c>
      <c r="E441" s="36"/>
      <c r="F441" s="36"/>
      <c r="G441" s="36"/>
      <c r="H441" s="35"/>
      <c r="I441" s="36"/>
    </row>
    <row r="442" customFormat="false" ht="15" hidden="false" customHeight="false" outlineLevel="0" collapsed="false">
      <c r="A442" s="35"/>
      <c r="B442" s="36"/>
      <c r="C442" s="11" t="str">
        <f aca="false">IF(B442="","",IFERROR(INDEX(Leads!$C:$C,MATCH(B442,Leads!$A:$A,0)),"ID not found"))</f>
        <v/>
      </c>
      <c r="D442" s="11" t="str">
        <f aca="false">IF(B442="","",IFERROR(INDEX(Leads!$B:$B,MATCH(B442,Leads!$A:$A,0)),""))</f>
        <v/>
      </c>
      <c r="E442" s="36"/>
      <c r="F442" s="36"/>
      <c r="G442" s="36"/>
      <c r="H442" s="35"/>
      <c r="I442" s="36"/>
    </row>
    <row r="443" customFormat="false" ht="15" hidden="false" customHeight="false" outlineLevel="0" collapsed="false">
      <c r="A443" s="35"/>
      <c r="B443" s="36"/>
      <c r="C443" s="11" t="str">
        <f aca="false">IF(B443="","",IFERROR(INDEX(Leads!$C:$C,MATCH(B443,Leads!$A:$A,0)),"ID not found"))</f>
        <v/>
      </c>
      <c r="D443" s="11" t="str">
        <f aca="false">IF(B443="","",IFERROR(INDEX(Leads!$B:$B,MATCH(B443,Leads!$A:$A,0)),""))</f>
        <v/>
      </c>
      <c r="E443" s="36"/>
      <c r="F443" s="36"/>
      <c r="G443" s="36"/>
      <c r="H443" s="35"/>
      <c r="I443" s="36"/>
    </row>
    <row r="444" customFormat="false" ht="15" hidden="false" customHeight="false" outlineLevel="0" collapsed="false">
      <c r="A444" s="35"/>
      <c r="B444" s="36"/>
      <c r="C444" s="11" t="str">
        <f aca="false">IF(B444="","",IFERROR(INDEX(Leads!$C:$C,MATCH(B444,Leads!$A:$A,0)),"ID not found"))</f>
        <v/>
      </c>
      <c r="D444" s="11" t="str">
        <f aca="false">IF(B444="","",IFERROR(INDEX(Leads!$B:$B,MATCH(B444,Leads!$A:$A,0)),""))</f>
        <v/>
      </c>
      <c r="E444" s="36"/>
      <c r="F444" s="36"/>
      <c r="G444" s="36"/>
      <c r="H444" s="35"/>
      <c r="I444" s="36"/>
    </row>
    <row r="445" customFormat="false" ht="15" hidden="false" customHeight="false" outlineLevel="0" collapsed="false">
      <c r="A445" s="35"/>
      <c r="B445" s="36"/>
      <c r="C445" s="11" t="str">
        <f aca="false">IF(B445="","",IFERROR(INDEX(Leads!$C:$C,MATCH(B445,Leads!$A:$A,0)),"ID not found"))</f>
        <v/>
      </c>
      <c r="D445" s="11" t="str">
        <f aca="false">IF(B445="","",IFERROR(INDEX(Leads!$B:$B,MATCH(B445,Leads!$A:$A,0)),""))</f>
        <v/>
      </c>
      <c r="E445" s="36"/>
      <c r="F445" s="36"/>
      <c r="G445" s="36"/>
      <c r="H445" s="35"/>
      <c r="I445" s="36"/>
    </row>
    <row r="446" customFormat="false" ht="15" hidden="false" customHeight="false" outlineLevel="0" collapsed="false">
      <c r="A446" s="35"/>
      <c r="B446" s="36"/>
      <c r="C446" s="11" t="str">
        <f aca="false">IF(B446="","",IFERROR(INDEX(Leads!$C:$C,MATCH(B446,Leads!$A:$A,0)),"ID not found"))</f>
        <v/>
      </c>
      <c r="D446" s="11" t="str">
        <f aca="false">IF(B446="","",IFERROR(INDEX(Leads!$B:$B,MATCH(B446,Leads!$A:$A,0)),""))</f>
        <v/>
      </c>
      <c r="E446" s="36"/>
      <c r="F446" s="36"/>
      <c r="G446" s="36"/>
      <c r="H446" s="35"/>
      <c r="I446" s="36"/>
    </row>
    <row r="447" customFormat="false" ht="15" hidden="false" customHeight="false" outlineLevel="0" collapsed="false">
      <c r="A447" s="35"/>
      <c r="B447" s="36"/>
      <c r="C447" s="11" t="str">
        <f aca="false">IF(B447="","",IFERROR(INDEX(Leads!$C:$C,MATCH(B447,Leads!$A:$A,0)),"ID not found"))</f>
        <v/>
      </c>
      <c r="D447" s="11" t="str">
        <f aca="false">IF(B447="","",IFERROR(INDEX(Leads!$B:$B,MATCH(B447,Leads!$A:$A,0)),""))</f>
        <v/>
      </c>
      <c r="E447" s="36"/>
      <c r="F447" s="36"/>
      <c r="G447" s="36"/>
      <c r="H447" s="35"/>
      <c r="I447" s="36"/>
    </row>
    <row r="448" customFormat="false" ht="15" hidden="false" customHeight="false" outlineLevel="0" collapsed="false">
      <c r="A448" s="35"/>
      <c r="B448" s="36"/>
      <c r="C448" s="11" t="str">
        <f aca="false">IF(B448="","",IFERROR(INDEX(Leads!$C:$C,MATCH(B448,Leads!$A:$A,0)),"ID not found"))</f>
        <v/>
      </c>
      <c r="D448" s="11" t="str">
        <f aca="false">IF(B448="","",IFERROR(INDEX(Leads!$B:$B,MATCH(B448,Leads!$A:$A,0)),""))</f>
        <v/>
      </c>
      <c r="E448" s="36"/>
      <c r="F448" s="36"/>
      <c r="G448" s="36"/>
      <c r="H448" s="35"/>
      <c r="I448" s="36"/>
    </row>
    <row r="449" customFormat="false" ht="15" hidden="false" customHeight="false" outlineLevel="0" collapsed="false">
      <c r="A449" s="35"/>
      <c r="B449" s="36"/>
      <c r="C449" s="11" t="str">
        <f aca="false">IF(B449="","",IFERROR(INDEX(Leads!$C:$C,MATCH(B449,Leads!$A:$A,0)),"ID not found"))</f>
        <v/>
      </c>
      <c r="D449" s="11" t="str">
        <f aca="false">IF(B449="","",IFERROR(INDEX(Leads!$B:$B,MATCH(B449,Leads!$A:$A,0)),""))</f>
        <v/>
      </c>
      <c r="E449" s="36"/>
      <c r="F449" s="36"/>
      <c r="G449" s="36"/>
      <c r="H449" s="35"/>
      <c r="I449" s="36"/>
    </row>
    <row r="450" customFormat="false" ht="15" hidden="false" customHeight="false" outlineLevel="0" collapsed="false">
      <c r="A450" s="35"/>
      <c r="B450" s="36"/>
      <c r="C450" s="11" t="str">
        <f aca="false">IF(B450="","",IFERROR(INDEX(Leads!$C:$C,MATCH(B450,Leads!$A:$A,0)),"ID not found"))</f>
        <v/>
      </c>
      <c r="D450" s="11" t="str">
        <f aca="false">IF(B450="","",IFERROR(INDEX(Leads!$B:$B,MATCH(B450,Leads!$A:$A,0)),""))</f>
        <v/>
      </c>
      <c r="E450" s="36"/>
      <c r="F450" s="36"/>
      <c r="G450" s="36"/>
      <c r="H450" s="35"/>
      <c r="I450" s="36"/>
    </row>
    <row r="451" customFormat="false" ht="15" hidden="false" customHeight="false" outlineLevel="0" collapsed="false">
      <c r="A451" s="35"/>
      <c r="B451" s="36"/>
      <c r="C451" s="11" t="str">
        <f aca="false">IF(B451="","",IFERROR(INDEX(Leads!$C:$C,MATCH(B451,Leads!$A:$A,0)),"ID not found"))</f>
        <v/>
      </c>
      <c r="D451" s="11" t="str">
        <f aca="false">IF(B451="","",IFERROR(INDEX(Leads!$B:$B,MATCH(B451,Leads!$A:$A,0)),""))</f>
        <v/>
      </c>
      <c r="E451" s="36"/>
      <c r="F451" s="36"/>
      <c r="G451" s="36"/>
      <c r="H451" s="35"/>
      <c r="I451" s="36"/>
    </row>
    <row r="452" customFormat="false" ht="15" hidden="false" customHeight="false" outlineLevel="0" collapsed="false">
      <c r="A452" s="35"/>
      <c r="B452" s="36"/>
      <c r="C452" s="11" t="str">
        <f aca="false">IF(B452="","",IFERROR(INDEX(Leads!$C:$C,MATCH(B452,Leads!$A:$A,0)),"ID not found"))</f>
        <v/>
      </c>
      <c r="D452" s="11" t="str">
        <f aca="false">IF(B452="","",IFERROR(INDEX(Leads!$B:$B,MATCH(B452,Leads!$A:$A,0)),""))</f>
        <v/>
      </c>
      <c r="E452" s="36"/>
      <c r="F452" s="36"/>
      <c r="G452" s="36"/>
      <c r="H452" s="35"/>
      <c r="I452" s="36"/>
    </row>
    <row r="453" customFormat="false" ht="15" hidden="false" customHeight="false" outlineLevel="0" collapsed="false">
      <c r="A453" s="35"/>
      <c r="B453" s="36"/>
      <c r="C453" s="11" t="str">
        <f aca="false">IF(B453="","",IFERROR(INDEX(Leads!$C:$C,MATCH(B453,Leads!$A:$A,0)),"ID not found"))</f>
        <v/>
      </c>
      <c r="D453" s="11" t="str">
        <f aca="false">IF(B453="","",IFERROR(INDEX(Leads!$B:$B,MATCH(B453,Leads!$A:$A,0)),""))</f>
        <v/>
      </c>
      <c r="E453" s="36"/>
      <c r="F453" s="36"/>
      <c r="G453" s="36"/>
      <c r="H453" s="35"/>
      <c r="I453" s="36"/>
    </row>
    <row r="454" customFormat="false" ht="15" hidden="false" customHeight="false" outlineLevel="0" collapsed="false">
      <c r="A454" s="35"/>
      <c r="B454" s="36"/>
      <c r="C454" s="11" t="str">
        <f aca="false">IF(B454="","",IFERROR(INDEX(Leads!$C:$C,MATCH(B454,Leads!$A:$A,0)),"ID not found"))</f>
        <v/>
      </c>
      <c r="D454" s="11" t="str">
        <f aca="false">IF(B454="","",IFERROR(INDEX(Leads!$B:$B,MATCH(B454,Leads!$A:$A,0)),""))</f>
        <v/>
      </c>
      <c r="E454" s="36"/>
      <c r="F454" s="36"/>
      <c r="G454" s="36"/>
      <c r="H454" s="35"/>
      <c r="I454" s="36"/>
    </row>
    <row r="455" customFormat="false" ht="15" hidden="false" customHeight="false" outlineLevel="0" collapsed="false">
      <c r="A455" s="35"/>
      <c r="B455" s="36"/>
      <c r="C455" s="11" t="str">
        <f aca="false">IF(B455="","",IFERROR(INDEX(Leads!$C:$C,MATCH(B455,Leads!$A:$A,0)),"ID not found"))</f>
        <v/>
      </c>
      <c r="D455" s="11" t="str">
        <f aca="false">IF(B455="","",IFERROR(INDEX(Leads!$B:$B,MATCH(B455,Leads!$A:$A,0)),""))</f>
        <v/>
      </c>
      <c r="E455" s="36"/>
      <c r="F455" s="36"/>
      <c r="G455" s="36"/>
      <c r="H455" s="35"/>
      <c r="I455" s="36"/>
    </row>
    <row r="456" customFormat="false" ht="15" hidden="false" customHeight="false" outlineLevel="0" collapsed="false">
      <c r="A456" s="35"/>
      <c r="B456" s="36"/>
      <c r="C456" s="11" t="str">
        <f aca="false">IF(B456="","",IFERROR(INDEX(Leads!$C:$C,MATCH(B456,Leads!$A:$A,0)),"ID not found"))</f>
        <v/>
      </c>
      <c r="D456" s="11" t="str">
        <f aca="false">IF(B456="","",IFERROR(INDEX(Leads!$B:$B,MATCH(B456,Leads!$A:$A,0)),""))</f>
        <v/>
      </c>
      <c r="E456" s="36"/>
      <c r="F456" s="36"/>
      <c r="G456" s="36"/>
      <c r="H456" s="35"/>
      <c r="I456" s="36"/>
    </row>
    <row r="457" customFormat="false" ht="15" hidden="false" customHeight="false" outlineLevel="0" collapsed="false">
      <c r="A457" s="35"/>
      <c r="B457" s="36"/>
      <c r="C457" s="11" t="str">
        <f aca="false">IF(B457="","",IFERROR(INDEX(Leads!$C:$C,MATCH(B457,Leads!$A:$A,0)),"ID not found"))</f>
        <v/>
      </c>
      <c r="D457" s="11" t="str">
        <f aca="false">IF(B457="","",IFERROR(INDEX(Leads!$B:$B,MATCH(B457,Leads!$A:$A,0)),""))</f>
        <v/>
      </c>
      <c r="E457" s="36"/>
      <c r="F457" s="36"/>
      <c r="G457" s="36"/>
      <c r="H457" s="35"/>
      <c r="I457" s="36"/>
    </row>
    <row r="458" customFormat="false" ht="15" hidden="false" customHeight="false" outlineLevel="0" collapsed="false">
      <c r="A458" s="35"/>
      <c r="B458" s="36"/>
      <c r="C458" s="11" t="str">
        <f aca="false">IF(B458="","",IFERROR(INDEX(Leads!$C:$C,MATCH(B458,Leads!$A:$A,0)),"ID not found"))</f>
        <v/>
      </c>
      <c r="D458" s="11" t="str">
        <f aca="false">IF(B458="","",IFERROR(INDEX(Leads!$B:$B,MATCH(B458,Leads!$A:$A,0)),""))</f>
        <v/>
      </c>
      <c r="E458" s="36"/>
      <c r="F458" s="36"/>
      <c r="G458" s="36"/>
      <c r="H458" s="35"/>
      <c r="I458" s="36"/>
    </row>
    <row r="459" customFormat="false" ht="15" hidden="false" customHeight="false" outlineLevel="0" collapsed="false">
      <c r="A459" s="35"/>
      <c r="B459" s="36"/>
      <c r="C459" s="11" t="str">
        <f aca="false">IF(B459="","",IFERROR(INDEX(Leads!$C:$C,MATCH(B459,Leads!$A:$A,0)),"ID not found"))</f>
        <v/>
      </c>
      <c r="D459" s="11" t="str">
        <f aca="false">IF(B459="","",IFERROR(INDEX(Leads!$B:$B,MATCH(B459,Leads!$A:$A,0)),""))</f>
        <v/>
      </c>
      <c r="E459" s="36"/>
      <c r="F459" s="36"/>
      <c r="G459" s="36"/>
      <c r="H459" s="35"/>
      <c r="I459" s="36"/>
    </row>
    <row r="460" customFormat="false" ht="15" hidden="false" customHeight="false" outlineLevel="0" collapsed="false">
      <c r="A460" s="35"/>
      <c r="B460" s="36"/>
      <c r="C460" s="11" t="str">
        <f aca="false">IF(B460="","",IFERROR(INDEX(Leads!$C:$C,MATCH(B460,Leads!$A:$A,0)),"ID not found"))</f>
        <v/>
      </c>
      <c r="D460" s="11" t="str">
        <f aca="false">IF(B460="","",IFERROR(INDEX(Leads!$B:$B,MATCH(B460,Leads!$A:$A,0)),""))</f>
        <v/>
      </c>
      <c r="E460" s="36"/>
      <c r="F460" s="36"/>
      <c r="G460" s="36"/>
      <c r="H460" s="35"/>
      <c r="I460" s="36"/>
    </row>
    <row r="461" customFormat="false" ht="15" hidden="false" customHeight="false" outlineLevel="0" collapsed="false">
      <c r="A461" s="35"/>
      <c r="B461" s="36"/>
      <c r="C461" s="11" t="str">
        <f aca="false">IF(B461="","",IFERROR(INDEX(Leads!$C:$C,MATCH(B461,Leads!$A:$A,0)),"ID not found"))</f>
        <v/>
      </c>
      <c r="D461" s="11" t="str">
        <f aca="false">IF(B461="","",IFERROR(INDEX(Leads!$B:$B,MATCH(B461,Leads!$A:$A,0)),""))</f>
        <v/>
      </c>
      <c r="E461" s="36"/>
      <c r="F461" s="36"/>
      <c r="G461" s="36"/>
      <c r="H461" s="35"/>
      <c r="I461" s="36"/>
    </row>
    <row r="462" customFormat="false" ht="15" hidden="false" customHeight="false" outlineLevel="0" collapsed="false">
      <c r="A462" s="35"/>
      <c r="B462" s="36"/>
      <c r="C462" s="11" t="str">
        <f aca="false">IF(B462="","",IFERROR(INDEX(Leads!$C:$C,MATCH(B462,Leads!$A:$A,0)),"ID not found"))</f>
        <v/>
      </c>
      <c r="D462" s="11" t="str">
        <f aca="false">IF(B462="","",IFERROR(INDEX(Leads!$B:$B,MATCH(B462,Leads!$A:$A,0)),""))</f>
        <v/>
      </c>
      <c r="E462" s="36"/>
      <c r="F462" s="36"/>
      <c r="G462" s="36"/>
      <c r="H462" s="35"/>
      <c r="I462" s="36"/>
    </row>
    <row r="463" customFormat="false" ht="15" hidden="false" customHeight="false" outlineLevel="0" collapsed="false">
      <c r="A463" s="35"/>
      <c r="B463" s="36"/>
      <c r="C463" s="11" t="str">
        <f aca="false">IF(B463="","",IFERROR(INDEX(Leads!$C:$C,MATCH(B463,Leads!$A:$A,0)),"ID not found"))</f>
        <v/>
      </c>
      <c r="D463" s="11" t="str">
        <f aca="false">IF(B463="","",IFERROR(INDEX(Leads!$B:$B,MATCH(B463,Leads!$A:$A,0)),""))</f>
        <v/>
      </c>
      <c r="E463" s="36"/>
      <c r="F463" s="36"/>
      <c r="G463" s="36"/>
      <c r="H463" s="35"/>
      <c r="I463" s="36"/>
    </row>
    <row r="464" customFormat="false" ht="15" hidden="false" customHeight="false" outlineLevel="0" collapsed="false">
      <c r="A464" s="35"/>
      <c r="B464" s="36"/>
      <c r="C464" s="11" t="str">
        <f aca="false">IF(B464="","",IFERROR(INDEX(Leads!$C:$C,MATCH(B464,Leads!$A:$A,0)),"ID not found"))</f>
        <v/>
      </c>
      <c r="D464" s="11" t="str">
        <f aca="false">IF(B464="","",IFERROR(INDEX(Leads!$B:$B,MATCH(B464,Leads!$A:$A,0)),""))</f>
        <v/>
      </c>
      <c r="E464" s="36"/>
      <c r="F464" s="36"/>
      <c r="G464" s="36"/>
      <c r="H464" s="35"/>
      <c r="I464" s="36"/>
    </row>
    <row r="465" customFormat="false" ht="15" hidden="false" customHeight="false" outlineLevel="0" collapsed="false">
      <c r="A465" s="35"/>
      <c r="B465" s="36"/>
      <c r="C465" s="11" t="str">
        <f aca="false">IF(B465="","",IFERROR(INDEX(Leads!$C:$C,MATCH(B465,Leads!$A:$A,0)),"ID not found"))</f>
        <v/>
      </c>
      <c r="D465" s="11" t="str">
        <f aca="false">IF(B465="","",IFERROR(INDEX(Leads!$B:$B,MATCH(B465,Leads!$A:$A,0)),""))</f>
        <v/>
      </c>
      <c r="E465" s="36"/>
      <c r="F465" s="36"/>
      <c r="G465" s="36"/>
      <c r="H465" s="35"/>
      <c r="I465" s="36"/>
    </row>
    <row r="466" customFormat="false" ht="15" hidden="false" customHeight="false" outlineLevel="0" collapsed="false">
      <c r="A466" s="35"/>
      <c r="B466" s="36"/>
      <c r="C466" s="11" t="str">
        <f aca="false">IF(B466="","",IFERROR(INDEX(Leads!$C:$C,MATCH(B466,Leads!$A:$A,0)),"ID not found"))</f>
        <v/>
      </c>
      <c r="D466" s="11" t="str">
        <f aca="false">IF(B466="","",IFERROR(INDEX(Leads!$B:$B,MATCH(B466,Leads!$A:$A,0)),""))</f>
        <v/>
      </c>
      <c r="E466" s="36"/>
      <c r="F466" s="36"/>
      <c r="G466" s="36"/>
      <c r="H466" s="35"/>
      <c r="I466" s="36"/>
    </row>
    <row r="467" customFormat="false" ht="15" hidden="false" customHeight="false" outlineLevel="0" collapsed="false">
      <c r="A467" s="35"/>
      <c r="B467" s="36"/>
      <c r="C467" s="11" t="str">
        <f aca="false">IF(B467="","",IFERROR(INDEX(Leads!$C:$C,MATCH(B467,Leads!$A:$A,0)),"ID not found"))</f>
        <v/>
      </c>
      <c r="D467" s="11" t="str">
        <f aca="false">IF(B467="","",IFERROR(INDEX(Leads!$B:$B,MATCH(B467,Leads!$A:$A,0)),""))</f>
        <v/>
      </c>
      <c r="E467" s="36"/>
      <c r="F467" s="36"/>
      <c r="G467" s="36"/>
      <c r="H467" s="35"/>
      <c r="I467" s="36"/>
    </row>
    <row r="468" customFormat="false" ht="15" hidden="false" customHeight="false" outlineLevel="0" collapsed="false">
      <c r="A468" s="35"/>
      <c r="B468" s="36"/>
      <c r="C468" s="11" t="str">
        <f aca="false">IF(B468="","",IFERROR(INDEX(Leads!$C:$C,MATCH(B468,Leads!$A:$A,0)),"ID not found"))</f>
        <v/>
      </c>
      <c r="D468" s="11" t="str">
        <f aca="false">IF(B468="","",IFERROR(INDEX(Leads!$B:$B,MATCH(B468,Leads!$A:$A,0)),""))</f>
        <v/>
      </c>
      <c r="E468" s="36"/>
      <c r="F468" s="36"/>
      <c r="G468" s="36"/>
      <c r="H468" s="35"/>
      <c r="I468" s="36"/>
    </row>
    <row r="469" customFormat="false" ht="15" hidden="false" customHeight="false" outlineLevel="0" collapsed="false">
      <c r="A469" s="35"/>
      <c r="B469" s="36"/>
      <c r="C469" s="11" t="str">
        <f aca="false">IF(B469="","",IFERROR(INDEX(Leads!$C:$C,MATCH(B469,Leads!$A:$A,0)),"ID not found"))</f>
        <v/>
      </c>
      <c r="D469" s="11" t="str">
        <f aca="false">IF(B469="","",IFERROR(INDEX(Leads!$B:$B,MATCH(B469,Leads!$A:$A,0)),""))</f>
        <v/>
      </c>
      <c r="E469" s="36"/>
      <c r="F469" s="36"/>
      <c r="G469" s="36"/>
      <c r="H469" s="35"/>
      <c r="I469" s="36"/>
    </row>
    <row r="470" customFormat="false" ht="15" hidden="false" customHeight="false" outlineLevel="0" collapsed="false">
      <c r="A470" s="35"/>
      <c r="B470" s="36"/>
      <c r="C470" s="11" t="str">
        <f aca="false">IF(B470="","",IFERROR(INDEX(Leads!$C:$C,MATCH(B470,Leads!$A:$A,0)),"ID not found"))</f>
        <v/>
      </c>
      <c r="D470" s="11" t="str">
        <f aca="false">IF(B470="","",IFERROR(INDEX(Leads!$B:$B,MATCH(B470,Leads!$A:$A,0)),""))</f>
        <v/>
      </c>
      <c r="E470" s="36"/>
      <c r="F470" s="36"/>
      <c r="G470" s="36"/>
      <c r="H470" s="35"/>
      <c r="I470" s="36"/>
    </row>
    <row r="471" customFormat="false" ht="15" hidden="false" customHeight="false" outlineLevel="0" collapsed="false">
      <c r="A471" s="35"/>
      <c r="B471" s="36"/>
      <c r="C471" s="11" t="str">
        <f aca="false">IF(B471="","",IFERROR(INDEX(Leads!$C:$C,MATCH(B471,Leads!$A:$A,0)),"ID not found"))</f>
        <v/>
      </c>
      <c r="D471" s="11" t="str">
        <f aca="false">IF(B471="","",IFERROR(INDEX(Leads!$B:$B,MATCH(B471,Leads!$A:$A,0)),""))</f>
        <v/>
      </c>
      <c r="E471" s="36"/>
      <c r="F471" s="36"/>
      <c r="G471" s="36"/>
      <c r="H471" s="35"/>
      <c r="I471" s="36"/>
    </row>
    <row r="472" customFormat="false" ht="15" hidden="false" customHeight="false" outlineLevel="0" collapsed="false">
      <c r="A472" s="35"/>
      <c r="B472" s="36"/>
      <c r="C472" s="11" t="str">
        <f aca="false">IF(B472="","",IFERROR(INDEX(Leads!$C:$C,MATCH(B472,Leads!$A:$A,0)),"ID not found"))</f>
        <v/>
      </c>
      <c r="D472" s="11" t="str">
        <f aca="false">IF(B472="","",IFERROR(INDEX(Leads!$B:$B,MATCH(B472,Leads!$A:$A,0)),""))</f>
        <v/>
      </c>
      <c r="E472" s="36"/>
      <c r="F472" s="36"/>
      <c r="G472" s="36"/>
      <c r="H472" s="35"/>
      <c r="I472" s="36"/>
    </row>
    <row r="473" customFormat="false" ht="15" hidden="false" customHeight="false" outlineLevel="0" collapsed="false">
      <c r="A473" s="35"/>
      <c r="B473" s="36"/>
      <c r="C473" s="11" t="str">
        <f aca="false">IF(B473="","",IFERROR(INDEX(Leads!$C:$C,MATCH(B473,Leads!$A:$A,0)),"ID not found"))</f>
        <v/>
      </c>
      <c r="D473" s="11" t="str">
        <f aca="false">IF(B473="","",IFERROR(INDEX(Leads!$B:$B,MATCH(B473,Leads!$A:$A,0)),""))</f>
        <v/>
      </c>
      <c r="E473" s="36"/>
      <c r="F473" s="36"/>
      <c r="G473" s="36"/>
      <c r="H473" s="35"/>
      <c r="I473" s="36"/>
    </row>
    <row r="474" customFormat="false" ht="15" hidden="false" customHeight="false" outlineLevel="0" collapsed="false">
      <c r="A474" s="35"/>
      <c r="B474" s="36"/>
      <c r="C474" s="11" t="str">
        <f aca="false">IF(B474="","",IFERROR(INDEX(Leads!$C:$C,MATCH(B474,Leads!$A:$A,0)),"ID not found"))</f>
        <v/>
      </c>
      <c r="D474" s="11" t="str">
        <f aca="false">IF(B474="","",IFERROR(INDEX(Leads!$B:$B,MATCH(B474,Leads!$A:$A,0)),""))</f>
        <v/>
      </c>
      <c r="E474" s="36"/>
      <c r="F474" s="36"/>
      <c r="G474" s="36"/>
      <c r="H474" s="35"/>
      <c r="I474" s="36"/>
    </row>
    <row r="475" customFormat="false" ht="15" hidden="false" customHeight="false" outlineLevel="0" collapsed="false">
      <c r="A475" s="35"/>
      <c r="B475" s="36"/>
      <c r="C475" s="11" t="str">
        <f aca="false">IF(B475="","",IFERROR(INDEX(Leads!$C:$C,MATCH(B475,Leads!$A:$A,0)),"ID not found"))</f>
        <v/>
      </c>
      <c r="D475" s="11" t="str">
        <f aca="false">IF(B475="","",IFERROR(INDEX(Leads!$B:$B,MATCH(B475,Leads!$A:$A,0)),""))</f>
        <v/>
      </c>
      <c r="E475" s="36"/>
      <c r="F475" s="36"/>
      <c r="G475" s="36"/>
      <c r="H475" s="35"/>
      <c r="I475" s="36"/>
    </row>
    <row r="476" customFormat="false" ht="15" hidden="false" customHeight="false" outlineLevel="0" collapsed="false">
      <c r="A476" s="35"/>
      <c r="B476" s="36"/>
      <c r="C476" s="11" t="str">
        <f aca="false">IF(B476="","",IFERROR(INDEX(Leads!$C:$C,MATCH(B476,Leads!$A:$A,0)),"ID not found"))</f>
        <v/>
      </c>
      <c r="D476" s="11" t="str">
        <f aca="false">IF(B476="","",IFERROR(INDEX(Leads!$B:$B,MATCH(B476,Leads!$A:$A,0)),""))</f>
        <v/>
      </c>
      <c r="E476" s="36"/>
      <c r="F476" s="36"/>
      <c r="G476" s="36"/>
      <c r="H476" s="35"/>
      <c r="I476" s="36"/>
    </row>
    <row r="477" customFormat="false" ht="15" hidden="false" customHeight="false" outlineLevel="0" collapsed="false">
      <c r="A477" s="35"/>
      <c r="B477" s="36"/>
      <c r="C477" s="11" t="str">
        <f aca="false">IF(B477="","",IFERROR(INDEX(Leads!$C:$C,MATCH(B477,Leads!$A:$A,0)),"ID not found"))</f>
        <v/>
      </c>
      <c r="D477" s="11" t="str">
        <f aca="false">IF(B477="","",IFERROR(INDEX(Leads!$B:$B,MATCH(B477,Leads!$A:$A,0)),""))</f>
        <v/>
      </c>
      <c r="E477" s="36"/>
      <c r="F477" s="36"/>
      <c r="G477" s="36"/>
      <c r="H477" s="35"/>
      <c r="I477" s="36"/>
    </row>
    <row r="478" customFormat="false" ht="15" hidden="false" customHeight="false" outlineLevel="0" collapsed="false">
      <c r="A478" s="35"/>
      <c r="B478" s="36"/>
      <c r="C478" s="11" t="str">
        <f aca="false">IF(B478="","",IFERROR(INDEX(Leads!$C:$C,MATCH(B478,Leads!$A:$A,0)),"ID not found"))</f>
        <v/>
      </c>
      <c r="D478" s="11" t="str">
        <f aca="false">IF(B478="","",IFERROR(INDEX(Leads!$B:$B,MATCH(B478,Leads!$A:$A,0)),""))</f>
        <v/>
      </c>
      <c r="E478" s="36"/>
      <c r="F478" s="36"/>
      <c r="G478" s="36"/>
      <c r="H478" s="35"/>
      <c r="I478" s="36"/>
    </row>
    <row r="479" customFormat="false" ht="15" hidden="false" customHeight="false" outlineLevel="0" collapsed="false">
      <c r="A479" s="35"/>
      <c r="B479" s="36"/>
      <c r="C479" s="11" t="str">
        <f aca="false">IF(B479="","",IFERROR(INDEX(Leads!$C:$C,MATCH(B479,Leads!$A:$A,0)),"ID not found"))</f>
        <v/>
      </c>
      <c r="D479" s="11" t="str">
        <f aca="false">IF(B479="","",IFERROR(INDEX(Leads!$B:$B,MATCH(B479,Leads!$A:$A,0)),""))</f>
        <v/>
      </c>
      <c r="E479" s="36"/>
      <c r="F479" s="36"/>
      <c r="G479" s="36"/>
      <c r="H479" s="35"/>
      <c r="I479" s="36"/>
    </row>
    <row r="480" customFormat="false" ht="15" hidden="false" customHeight="false" outlineLevel="0" collapsed="false">
      <c r="A480" s="35"/>
      <c r="B480" s="36"/>
      <c r="C480" s="11" t="str">
        <f aca="false">IF(B480="","",IFERROR(INDEX(Leads!$C:$C,MATCH(B480,Leads!$A:$A,0)),"ID not found"))</f>
        <v/>
      </c>
      <c r="D480" s="11" t="str">
        <f aca="false">IF(B480="","",IFERROR(INDEX(Leads!$B:$B,MATCH(B480,Leads!$A:$A,0)),""))</f>
        <v/>
      </c>
      <c r="E480" s="36"/>
      <c r="F480" s="36"/>
      <c r="G480" s="36"/>
      <c r="H480" s="35"/>
      <c r="I480" s="36"/>
    </row>
    <row r="481" customFormat="false" ht="15" hidden="false" customHeight="false" outlineLevel="0" collapsed="false">
      <c r="A481" s="35"/>
      <c r="B481" s="36"/>
      <c r="C481" s="11" t="str">
        <f aca="false">IF(B481="","",IFERROR(INDEX(Leads!$C:$C,MATCH(B481,Leads!$A:$A,0)),"ID not found"))</f>
        <v/>
      </c>
      <c r="D481" s="11" t="str">
        <f aca="false">IF(B481="","",IFERROR(INDEX(Leads!$B:$B,MATCH(B481,Leads!$A:$A,0)),""))</f>
        <v/>
      </c>
      <c r="E481" s="36"/>
      <c r="F481" s="36"/>
      <c r="G481" s="36"/>
      <c r="H481" s="35"/>
      <c r="I481" s="36"/>
    </row>
    <row r="482" customFormat="false" ht="15" hidden="false" customHeight="false" outlineLevel="0" collapsed="false">
      <c r="A482" s="35"/>
      <c r="B482" s="36"/>
      <c r="C482" s="11" t="str">
        <f aca="false">IF(B482="","",IFERROR(INDEX(Leads!$C:$C,MATCH(B482,Leads!$A:$A,0)),"ID not found"))</f>
        <v/>
      </c>
      <c r="D482" s="11" t="str">
        <f aca="false">IF(B482="","",IFERROR(INDEX(Leads!$B:$B,MATCH(B482,Leads!$A:$A,0)),""))</f>
        <v/>
      </c>
      <c r="E482" s="36"/>
      <c r="F482" s="36"/>
      <c r="G482" s="36"/>
      <c r="H482" s="35"/>
      <c r="I482" s="36"/>
    </row>
    <row r="483" customFormat="false" ht="15" hidden="false" customHeight="false" outlineLevel="0" collapsed="false">
      <c r="A483" s="35"/>
      <c r="B483" s="36"/>
      <c r="C483" s="11" t="str">
        <f aca="false">IF(B483="","",IFERROR(INDEX(Leads!$C:$C,MATCH(B483,Leads!$A:$A,0)),"ID not found"))</f>
        <v/>
      </c>
      <c r="D483" s="11" t="str">
        <f aca="false">IF(B483="","",IFERROR(INDEX(Leads!$B:$B,MATCH(B483,Leads!$A:$A,0)),""))</f>
        <v/>
      </c>
      <c r="E483" s="36"/>
      <c r="F483" s="36"/>
      <c r="G483" s="36"/>
      <c r="H483" s="35"/>
      <c r="I483" s="36"/>
    </row>
    <row r="484" customFormat="false" ht="15" hidden="false" customHeight="false" outlineLevel="0" collapsed="false">
      <c r="A484" s="35"/>
      <c r="B484" s="36"/>
      <c r="C484" s="11" t="str">
        <f aca="false">IF(B484="","",IFERROR(INDEX(Leads!$C:$C,MATCH(B484,Leads!$A:$A,0)),"ID not found"))</f>
        <v/>
      </c>
      <c r="D484" s="11" t="str">
        <f aca="false">IF(B484="","",IFERROR(INDEX(Leads!$B:$B,MATCH(B484,Leads!$A:$A,0)),""))</f>
        <v/>
      </c>
      <c r="E484" s="36"/>
      <c r="F484" s="36"/>
      <c r="G484" s="36"/>
      <c r="H484" s="35"/>
      <c r="I484" s="36"/>
    </row>
    <row r="485" customFormat="false" ht="15" hidden="false" customHeight="false" outlineLevel="0" collapsed="false">
      <c r="A485" s="35"/>
      <c r="B485" s="36"/>
      <c r="C485" s="11" t="str">
        <f aca="false">IF(B485="","",IFERROR(INDEX(Leads!$C:$C,MATCH(B485,Leads!$A:$A,0)),"ID not found"))</f>
        <v/>
      </c>
      <c r="D485" s="11" t="str">
        <f aca="false">IF(B485="","",IFERROR(INDEX(Leads!$B:$B,MATCH(B485,Leads!$A:$A,0)),""))</f>
        <v/>
      </c>
      <c r="E485" s="36"/>
      <c r="F485" s="36"/>
      <c r="G485" s="36"/>
      <c r="H485" s="35"/>
      <c r="I485" s="36"/>
    </row>
    <row r="486" customFormat="false" ht="15" hidden="false" customHeight="false" outlineLevel="0" collapsed="false">
      <c r="A486" s="35"/>
      <c r="B486" s="36"/>
      <c r="C486" s="11" t="str">
        <f aca="false">IF(B486="","",IFERROR(INDEX(Leads!$C:$C,MATCH(B486,Leads!$A:$A,0)),"ID not found"))</f>
        <v/>
      </c>
      <c r="D486" s="11" t="str">
        <f aca="false">IF(B486="","",IFERROR(INDEX(Leads!$B:$B,MATCH(B486,Leads!$A:$A,0)),""))</f>
        <v/>
      </c>
      <c r="E486" s="36"/>
      <c r="F486" s="36"/>
      <c r="G486" s="36"/>
      <c r="H486" s="35"/>
      <c r="I486" s="36"/>
    </row>
    <row r="487" customFormat="false" ht="15" hidden="false" customHeight="false" outlineLevel="0" collapsed="false">
      <c r="A487" s="35"/>
      <c r="B487" s="36"/>
      <c r="C487" s="11" t="str">
        <f aca="false">IF(B487="","",IFERROR(INDEX(Leads!$C:$C,MATCH(B487,Leads!$A:$A,0)),"ID not found"))</f>
        <v/>
      </c>
      <c r="D487" s="11" t="str">
        <f aca="false">IF(B487="","",IFERROR(INDEX(Leads!$B:$B,MATCH(B487,Leads!$A:$A,0)),""))</f>
        <v/>
      </c>
      <c r="E487" s="36"/>
      <c r="F487" s="36"/>
      <c r="G487" s="36"/>
      <c r="H487" s="35"/>
      <c r="I487" s="36"/>
    </row>
    <row r="488" customFormat="false" ht="15" hidden="false" customHeight="false" outlineLevel="0" collapsed="false">
      <c r="A488" s="35"/>
      <c r="B488" s="36"/>
      <c r="C488" s="11" t="str">
        <f aca="false">IF(B488="","",IFERROR(INDEX(Leads!$C:$C,MATCH(B488,Leads!$A:$A,0)),"ID not found"))</f>
        <v/>
      </c>
      <c r="D488" s="11" t="str">
        <f aca="false">IF(B488="","",IFERROR(INDEX(Leads!$B:$B,MATCH(B488,Leads!$A:$A,0)),""))</f>
        <v/>
      </c>
      <c r="E488" s="36"/>
      <c r="F488" s="36"/>
      <c r="G488" s="36"/>
      <c r="H488" s="35"/>
      <c r="I488" s="36"/>
    </row>
    <row r="489" customFormat="false" ht="15" hidden="false" customHeight="false" outlineLevel="0" collapsed="false">
      <c r="A489" s="35"/>
      <c r="B489" s="36"/>
      <c r="C489" s="11" t="str">
        <f aca="false">IF(B489="","",IFERROR(INDEX(Leads!$C:$C,MATCH(B489,Leads!$A:$A,0)),"ID not found"))</f>
        <v/>
      </c>
      <c r="D489" s="11" t="str">
        <f aca="false">IF(B489="","",IFERROR(INDEX(Leads!$B:$B,MATCH(B489,Leads!$A:$A,0)),""))</f>
        <v/>
      </c>
      <c r="E489" s="36"/>
      <c r="F489" s="36"/>
      <c r="G489" s="36"/>
      <c r="H489" s="35"/>
      <c r="I489" s="36"/>
    </row>
    <row r="490" customFormat="false" ht="15" hidden="false" customHeight="false" outlineLevel="0" collapsed="false">
      <c r="A490" s="35"/>
      <c r="B490" s="36"/>
      <c r="C490" s="11" t="str">
        <f aca="false">IF(B490="","",IFERROR(INDEX(Leads!$C:$C,MATCH(B490,Leads!$A:$A,0)),"ID not found"))</f>
        <v/>
      </c>
      <c r="D490" s="11" t="str">
        <f aca="false">IF(B490="","",IFERROR(INDEX(Leads!$B:$B,MATCH(B490,Leads!$A:$A,0)),""))</f>
        <v/>
      </c>
      <c r="E490" s="36"/>
      <c r="F490" s="36"/>
      <c r="G490" s="36"/>
      <c r="H490" s="35"/>
      <c r="I490" s="36"/>
    </row>
    <row r="491" customFormat="false" ht="15" hidden="false" customHeight="false" outlineLevel="0" collapsed="false">
      <c r="A491" s="35"/>
      <c r="B491" s="36"/>
      <c r="C491" s="11" t="str">
        <f aca="false">IF(B491="","",IFERROR(INDEX(Leads!$C:$C,MATCH(B491,Leads!$A:$A,0)),"ID not found"))</f>
        <v/>
      </c>
      <c r="D491" s="11" t="str">
        <f aca="false">IF(B491="","",IFERROR(INDEX(Leads!$B:$B,MATCH(B491,Leads!$A:$A,0)),""))</f>
        <v/>
      </c>
      <c r="E491" s="36"/>
      <c r="F491" s="36"/>
      <c r="G491" s="36"/>
      <c r="H491" s="35"/>
      <c r="I491" s="36"/>
    </row>
    <row r="492" customFormat="false" ht="15" hidden="false" customHeight="false" outlineLevel="0" collapsed="false">
      <c r="A492" s="35"/>
      <c r="B492" s="36"/>
      <c r="C492" s="11" t="str">
        <f aca="false">IF(B492="","",IFERROR(INDEX(Leads!$C:$C,MATCH(B492,Leads!$A:$A,0)),"ID not found"))</f>
        <v/>
      </c>
      <c r="D492" s="11" t="str">
        <f aca="false">IF(B492="","",IFERROR(INDEX(Leads!$B:$B,MATCH(B492,Leads!$A:$A,0)),""))</f>
        <v/>
      </c>
      <c r="E492" s="36"/>
      <c r="F492" s="36"/>
      <c r="G492" s="36"/>
      <c r="H492" s="35"/>
      <c r="I492" s="36"/>
    </row>
    <row r="493" customFormat="false" ht="15" hidden="false" customHeight="false" outlineLevel="0" collapsed="false">
      <c r="A493" s="35"/>
      <c r="B493" s="36"/>
      <c r="C493" s="11" t="str">
        <f aca="false">IF(B493="","",IFERROR(INDEX(Leads!$C:$C,MATCH(B493,Leads!$A:$A,0)),"ID not found"))</f>
        <v/>
      </c>
      <c r="D493" s="11" t="str">
        <f aca="false">IF(B493="","",IFERROR(INDEX(Leads!$B:$B,MATCH(B493,Leads!$A:$A,0)),""))</f>
        <v/>
      </c>
      <c r="E493" s="36"/>
      <c r="F493" s="36"/>
      <c r="G493" s="36"/>
      <c r="H493" s="35"/>
      <c r="I493" s="36"/>
    </row>
    <row r="494" customFormat="false" ht="15" hidden="false" customHeight="false" outlineLevel="0" collapsed="false">
      <c r="A494" s="35"/>
      <c r="B494" s="36"/>
      <c r="C494" s="11" t="str">
        <f aca="false">IF(B494="","",IFERROR(INDEX(Leads!$C:$C,MATCH(B494,Leads!$A:$A,0)),"ID not found"))</f>
        <v/>
      </c>
      <c r="D494" s="11" t="str">
        <f aca="false">IF(B494="","",IFERROR(INDEX(Leads!$B:$B,MATCH(B494,Leads!$A:$A,0)),""))</f>
        <v/>
      </c>
      <c r="E494" s="36"/>
      <c r="F494" s="36"/>
      <c r="G494" s="36"/>
      <c r="H494" s="35"/>
      <c r="I494" s="36"/>
    </row>
    <row r="495" customFormat="false" ht="15" hidden="false" customHeight="false" outlineLevel="0" collapsed="false">
      <c r="A495" s="35"/>
      <c r="B495" s="36"/>
      <c r="C495" s="11" t="str">
        <f aca="false">IF(B495="","",IFERROR(INDEX(Leads!$C:$C,MATCH(B495,Leads!$A:$A,0)),"ID not found"))</f>
        <v/>
      </c>
      <c r="D495" s="11" t="str">
        <f aca="false">IF(B495="","",IFERROR(INDEX(Leads!$B:$B,MATCH(B495,Leads!$A:$A,0)),""))</f>
        <v/>
      </c>
      <c r="E495" s="36"/>
      <c r="F495" s="36"/>
      <c r="G495" s="36"/>
      <c r="H495" s="35"/>
      <c r="I495" s="36"/>
    </row>
    <row r="496" customFormat="false" ht="15" hidden="false" customHeight="false" outlineLevel="0" collapsed="false">
      <c r="A496" s="35"/>
      <c r="B496" s="36"/>
      <c r="C496" s="11" t="str">
        <f aca="false">IF(B496="","",IFERROR(INDEX(Leads!$C:$C,MATCH(B496,Leads!$A:$A,0)),"ID not found"))</f>
        <v/>
      </c>
      <c r="D496" s="11" t="str">
        <f aca="false">IF(B496="","",IFERROR(INDEX(Leads!$B:$B,MATCH(B496,Leads!$A:$A,0)),""))</f>
        <v/>
      </c>
      <c r="E496" s="36"/>
      <c r="F496" s="36"/>
      <c r="G496" s="36"/>
      <c r="H496" s="35"/>
      <c r="I496" s="36"/>
    </row>
    <row r="497" customFormat="false" ht="15" hidden="false" customHeight="false" outlineLevel="0" collapsed="false">
      <c r="A497" s="35"/>
      <c r="B497" s="36"/>
      <c r="C497" s="11" t="str">
        <f aca="false">IF(B497="","",IFERROR(INDEX(Leads!$C:$C,MATCH(B497,Leads!$A:$A,0)),"ID not found"))</f>
        <v/>
      </c>
      <c r="D497" s="11" t="str">
        <f aca="false">IF(B497="","",IFERROR(INDEX(Leads!$B:$B,MATCH(B497,Leads!$A:$A,0)),""))</f>
        <v/>
      </c>
      <c r="E497" s="36"/>
      <c r="F497" s="36"/>
      <c r="G497" s="36"/>
      <c r="H497" s="35"/>
      <c r="I497" s="36"/>
    </row>
    <row r="498" customFormat="false" ht="15" hidden="false" customHeight="false" outlineLevel="0" collapsed="false">
      <c r="A498" s="35"/>
      <c r="B498" s="36"/>
      <c r="C498" s="11" t="str">
        <f aca="false">IF(B498="","",IFERROR(INDEX(Leads!$C:$C,MATCH(B498,Leads!$A:$A,0)),"ID not found"))</f>
        <v/>
      </c>
      <c r="D498" s="11" t="str">
        <f aca="false">IF(B498="","",IFERROR(INDEX(Leads!$B:$B,MATCH(B498,Leads!$A:$A,0)),""))</f>
        <v/>
      </c>
      <c r="E498" s="36"/>
      <c r="F498" s="36"/>
      <c r="G498" s="36"/>
      <c r="H498" s="35"/>
      <c r="I498" s="36"/>
    </row>
    <row r="499" customFormat="false" ht="15" hidden="false" customHeight="false" outlineLevel="0" collapsed="false">
      <c r="A499" s="35"/>
      <c r="B499" s="36"/>
      <c r="C499" s="11" t="str">
        <f aca="false">IF(B499="","",IFERROR(INDEX(Leads!$C:$C,MATCH(B499,Leads!$A:$A,0)),"ID not found"))</f>
        <v/>
      </c>
      <c r="D499" s="11" t="str">
        <f aca="false">IF(B499="","",IFERROR(INDEX(Leads!$B:$B,MATCH(B499,Leads!$A:$A,0)),""))</f>
        <v/>
      </c>
      <c r="E499" s="36"/>
      <c r="F499" s="36"/>
      <c r="G499" s="36"/>
      <c r="H499" s="35"/>
      <c r="I499" s="36"/>
    </row>
    <row r="500" customFormat="false" ht="15" hidden="false" customHeight="false" outlineLevel="0" collapsed="false">
      <c r="A500" s="35"/>
      <c r="B500" s="36"/>
      <c r="C500" s="11" t="str">
        <f aca="false">IF(B500="","",IFERROR(INDEX(Leads!$C:$C,MATCH(B500,Leads!$A:$A,0)),"ID not found"))</f>
        <v/>
      </c>
      <c r="D500" s="11" t="str">
        <f aca="false">IF(B500="","",IFERROR(INDEX(Leads!$B:$B,MATCH(B500,Leads!$A:$A,0)),""))</f>
        <v/>
      </c>
      <c r="E500" s="36"/>
      <c r="F500" s="36"/>
      <c r="G500" s="36"/>
      <c r="H500" s="35"/>
      <c r="I500" s="36"/>
    </row>
    <row r="501" customFormat="false" ht="15" hidden="false" customHeight="false" outlineLevel="0" collapsed="false">
      <c r="A501" s="35"/>
      <c r="B501" s="36"/>
      <c r="C501" s="11" t="str">
        <f aca="false">IF(B501="","",IFERROR(INDEX(Leads!$C:$C,MATCH(B501,Leads!$A:$A,0)),"ID not found"))</f>
        <v/>
      </c>
      <c r="D501" s="11" t="str">
        <f aca="false">IF(B501="","",IFERROR(INDEX(Leads!$B:$B,MATCH(B501,Leads!$A:$A,0)),""))</f>
        <v/>
      </c>
      <c r="E501" s="36"/>
      <c r="F501" s="36"/>
      <c r="G501" s="36"/>
      <c r="H501" s="35"/>
      <c r="I501" s="36"/>
    </row>
    <row r="502" customFormat="false" ht="15" hidden="false" customHeight="false" outlineLevel="0" collapsed="false">
      <c r="A502" s="35"/>
      <c r="B502" s="36"/>
      <c r="C502" s="11" t="str">
        <f aca="false">IF(B502="","",IFERROR(INDEX(Leads!$C:$C,MATCH(B502,Leads!$A:$A,0)),"ID not found"))</f>
        <v/>
      </c>
      <c r="D502" s="11" t="str">
        <f aca="false">IF(B502="","",IFERROR(INDEX(Leads!$B:$B,MATCH(B502,Leads!$A:$A,0)),""))</f>
        <v/>
      </c>
      <c r="E502" s="36"/>
      <c r="F502" s="36"/>
      <c r="G502" s="36"/>
      <c r="H502" s="35"/>
      <c r="I502" s="36"/>
    </row>
    <row r="503" customFormat="false" ht="15" hidden="false" customHeight="false" outlineLevel="0" collapsed="false">
      <c r="A503" s="35"/>
      <c r="B503" s="36"/>
      <c r="C503" s="11" t="str">
        <f aca="false">IF(B503="","",IFERROR(INDEX(Leads!$C:$C,MATCH(B503,Leads!$A:$A,0)),"ID not found"))</f>
        <v/>
      </c>
      <c r="D503" s="11" t="str">
        <f aca="false">IF(B503="","",IFERROR(INDEX(Leads!$B:$B,MATCH(B503,Leads!$A:$A,0)),""))</f>
        <v/>
      </c>
      <c r="E503" s="36"/>
      <c r="F503" s="36"/>
      <c r="G503" s="36"/>
      <c r="H503" s="35"/>
      <c r="I503" s="36"/>
    </row>
    <row r="504" customFormat="false" ht="15" hidden="false" customHeight="false" outlineLevel="0" collapsed="false">
      <c r="A504" s="35"/>
      <c r="B504" s="36"/>
      <c r="C504" s="11" t="str">
        <f aca="false">IF(B504="","",IFERROR(INDEX(Leads!$C:$C,MATCH(B504,Leads!$A:$A,0)),"ID not found"))</f>
        <v/>
      </c>
      <c r="D504" s="11" t="str">
        <f aca="false">IF(B504="","",IFERROR(INDEX(Leads!$B:$B,MATCH(B504,Leads!$A:$A,0)),""))</f>
        <v/>
      </c>
      <c r="E504" s="36"/>
      <c r="F504" s="36"/>
      <c r="G504" s="36"/>
      <c r="H504" s="35"/>
      <c r="I504" s="36"/>
    </row>
    <row r="505" customFormat="false" ht="15" hidden="false" customHeight="false" outlineLevel="0" collapsed="false">
      <c r="A505" s="35"/>
      <c r="B505" s="36"/>
      <c r="C505" s="11" t="str">
        <f aca="false">IF(B505="","",IFERROR(INDEX(Leads!$C:$C,MATCH(B505,Leads!$A:$A,0)),"ID not found"))</f>
        <v/>
      </c>
      <c r="D505" s="11" t="str">
        <f aca="false">IF(B505="","",IFERROR(INDEX(Leads!$B:$B,MATCH(B505,Leads!$A:$A,0)),""))</f>
        <v/>
      </c>
      <c r="E505" s="36"/>
      <c r="F505" s="36"/>
      <c r="G505" s="36"/>
      <c r="H505" s="35"/>
      <c r="I505" s="36"/>
    </row>
    <row r="506" customFormat="false" ht="15" hidden="false" customHeight="false" outlineLevel="0" collapsed="false">
      <c r="A506" s="35"/>
      <c r="B506" s="36"/>
      <c r="C506" s="11" t="str">
        <f aca="false">IF(B506="","",IFERROR(INDEX(Leads!$C:$C,MATCH(B506,Leads!$A:$A,0)),"ID not found"))</f>
        <v/>
      </c>
      <c r="D506" s="11" t="str">
        <f aca="false">IF(B506="","",IFERROR(INDEX(Leads!$B:$B,MATCH(B506,Leads!$A:$A,0)),""))</f>
        <v/>
      </c>
      <c r="E506" s="36"/>
      <c r="F506" s="36"/>
      <c r="G506" s="36"/>
      <c r="H506" s="35"/>
      <c r="I506" s="36"/>
    </row>
    <row r="507" customFormat="false" ht="15" hidden="false" customHeight="false" outlineLevel="0" collapsed="false">
      <c r="A507" s="35"/>
      <c r="B507" s="36"/>
      <c r="C507" s="11" t="str">
        <f aca="false">IF(B507="","",IFERROR(INDEX(Leads!$C:$C,MATCH(B507,Leads!$A:$A,0)),"ID not found"))</f>
        <v/>
      </c>
      <c r="D507" s="11" t="str">
        <f aca="false">IF(B507="","",IFERROR(INDEX(Leads!$B:$B,MATCH(B507,Leads!$A:$A,0)),""))</f>
        <v/>
      </c>
      <c r="E507" s="36"/>
      <c r="F507" s="36"/>
      <c r="G507" s="36"/>
      <c r="H507" s="35"/>
      <c r="I507" s="36"/>
    </row>
    <row r="508" customFormat="false" ht="15" hidden="false" customHeight="false" outlineLevel="0" collapsed="false">
      <c r="A508" s="35"/>
      <c r="B508" s="36"/>
      <c r="C508" s="11" t="str">
        <f aca="false">IF(B508="","",IFERROR(INDEX(Leads!$C:$C,MATCH(B508,Leads!$A:$A,0)),"ID not found"))</f>
        <v/>
      </c>
      <c r="D508" s="11" t="str">
        <f aca="false">IF(B508="","",IFERROR(INDEX(Leads!$B:$B,MATCH(B508,Leads!$A:$A,0)),""))</f>
        <v/>
      </c>
      <c r="E508" s="36"/>
      <c r="F508" s="36"/>
      <c r="G508" s="36"/>
      <c r="H508" s="35"/>
      <c r="I508" s="36"/>
    </row>
    <row r="509" customFormat="false" ht="15" hidden="false" customHeight="false" outlineLevel="0" collapsed="false">
      <c r="A509" s="35"/>
      <c r="B509" s="36"/>
      <c r="C509" s="11" t="str">
        <f aca="false">IF(B509="","",IFERROR(INDEX(Leads!$C:$C,MATCH(B509,Leads!$A:$A,0)),"ID not found"))</f>
        <v/>
      </c>
      <c r="D509" s="11" t="str">
        <f aca="false">IF(B509="","",IFERROR(INDEX(Leads!$B:$B,MATCH(B509,Leads!$A:$A,0)),""))</f>
        <v/>
      </c>
      <c r="E509" s="36"/>
      <c r="F509" s="36"/>
      <c r="G509" s="36"/>
      <c r="H509" s="35"/>
      <c r="I509" s="36"/>
    </row>
    <row r="510" customFormat="false" ht="15" hidden="false" customHeight="false" outlineLevel="0" collapsed="false">
      <c r="A510" s="35"/>
      <c r="B510" s="36"/>
      <c r="C510" s="11" t="str">
        <f aca="false">IF(B510="","",IFERROR(INDEX(Leads!$C:$C,MATCH(B510,Leads!$A:$A,0)),"ID not found"))</f>
        <v/>
      </c>
      <c r="D510" s="11" t="str">
        <f aca="false">IF(B510="","",IFERROR(INDEX(Leads!$B:$B,MATCH(B510,Leads!$A:$A,0)),""))</f>
        <v/>
      </c>
      <c r="E510" s="36"/>
      <c r="F510" s="36"/>
      <c r="G510" s="36"/>
      <c r="H510" s="35"/>
      <c r="I510" s="36"/>
    </row>
    <row r="511" customFormat="false" ht="15" hidden="false" customHeight="false" outlineLevel="0" collapsed="false">
      <c r="A511" s="35"/>
      <c r="B511" s="36"/>
      <c r="C511" s="11" t="str">
        <f aca="false">IF(B511="","",IFERROR(INDEX(Leads!$C:$C,MATCH(B511,Leads!$A:$A,0)),"ID not found"))</f>
        <v/>
      </c>
      <c r="D511" s="11" t="str">
        <f aca="false">IF(B511="","",IFERROR(INDEX(Leads!$B:$B,MATCH(B511,Leads!$A:$A,0)),""))</f>
        <v/>
      </c>
      <c r="E511" s="36"/>
      <c r="F511" s="36"/>
      <c r="G511" s="36"/>
      <c r="H511" s="35"/>
      <c r="I511" s="36"/>
    </row>
    <row r="512" customFormat="false" ht="15" hidden="false" customHeight="false" outlineLevel="0" collapsed="false">
      <c r="A512" s="35"/>
      <c r="B512" s="36"/>
      <c r="C512" s="11" t="str">
        <f aca="false">IF(B512="","",IFERROR(INDEX(Leads!$C:$C,MATCH(B512,Leads!$A:$A,0)),"ID not found"))</f>
        <v/>
      </c>
      <c r="D512" s="11" t="str">
        <f aca="false">IF(B512="","",IFERROR(INDEX(Leads!$B:$B,MATCH(B512,Leads!$A:$A,0)),""))</f>
        <v/>
      </c>
      <c r="E512" s="36"/>
      <c r="F512" s="36"/>
      <c r="G512" s="36"/>
      <c r="H512" s="35"/>
      <c r="I512" s="36"/>
    </row>
    <row r="513" customFormat="false" ht="15" hidden="false" customHeight="false" outlineLevel="0" collapsed="false">
      <c r="A513" s="35"/>
      <c r="B513" s="36"/>
      <c r="C513" s="11" t="str">
        <f aca="false">IF(B513="","",IFERROR(INDEX(Leads!$C:$C,MATCH(B513,Leads!$A:$A,0)),"ID not found"))</f>
        <v/>
      </c>
      <c r="D513" s="11" t="str">
        <f aca="false">IF(B513="","",IFERROR(INDEX(Leads!$B:$B,MATCH(B513,Leads!$A:$A,0)),""))</f>
        <v/>
      </c>
      <c r="E513" s="36"/>
      <c r="F513" s="36"/>
      <c r="G513" s="36"/>
      <c r="H513" s="35"/>
      <c r="I513" s="36"/>
    </row>
    <row r="514" customFormat="false" ht="15" hidden="false" customHeight="false" outlineLevel="0" collapsed="false">
      <c r="A514" s="35"/>
      <c r="B514" s="36"/>
      <c r="C514" s="11" t="str">
        <f aca="false">IF(B514="","",IFERROR(INDEX(Leads!$C:$C,MATCH(B514,Leads!$A:$A,0)),"ID not found"))</f>
        <v/>
      </c>
      <c r="D514" s="11" t="str">
        <f aca="false">IF(B514="","",IFERROR(INDEX(Leads!$B:$B,MATCH(B514,Leads!$A:$A,0)),""))</f>
        <v/>
      </c>
      <c r="E514" s="36"/>
      <c r="F514" s="36"/>
      <c r="G514" s="36"/>
      <c r="H514" s="35"/>
      <c r="I514" s="36"/>
    </row>
    <row r="515" customFormat="false" ht="15" hidden="false" customHeight="false" outlineLevel="0" collapsed="false">
      <c r="A515" s="35"/>
      <c r="B515" s="36"/>
      <c r="C515" s="11" t="str">
        <f aca="false">IF(B515="","",IFERROR(INDEX(Leads!$C:$C,MATCH(B515,Leads!$A:$A,0)),"ID not found"))</f>
        <v/>
      </c>
      <c r="D515" s="11" t="str">
        <f aca="false">IF(B515="","",IFERROR(INDEX(Leads!$B:$B,MATCH(B515,Leads!$A:$A,0)),""))</f>
        <v/>
      </c>
      <c r="E515" s="36"/>
      <c r="F515" s="36"/>
      <c r="G515" s="36"/>
      <c r="H515" s="35"/>
      <c r="I515" s="36"/>
    </row>
    <row r="516" customFormat="false" ht="15" hidden="false" customHeight="false" outlineLevel="0" collapsed="false">
      <c r="A516" s="35"/>
      <c r="B516" s="36"/>
      <c r="C516" s="11" t="str">
        <f aca="false">IF(B516="","",IFERROR(INDEX(Leads!$C:$C,MATCH(B516,Leads!$A:$A,0)),"ID not found"))</f>
        <v/>
      </c>
      <c r="D516" s="11" t="str">
        <f aca="false">IF(B516="","",IFERROR(INDEX(Leads!$B:$B,MATCH(B516,Leads!$A:$A,0)),""))</f>
        <v/>
      </c>
      <c r="E516" s="36"/>
      <c r="F516" s="36"/>
      <c r="G516" s="36"/>
      <c r="H516" s="35"/>
      <c r="I516" s="36"/>
    </row>
    <row r="517" customFormat="false" ht="15" hidden="false" customHeight="false" outlineLevel="0" collapsed="false">
      <c r="A517" s="35"/>
      <c r="B517" s="36"/>
      <c r="C517" s="11" t="str">
        <f aca="false">IF(B517="","",IFERROR(INDEX(Leads!$C:$C,MATCH(B517,Leads!$A:$A,0)),"ID not found"))</f>
        <v/>
      </c>
      <c r="D517" s="11" t="str">
        <f aca="false">IF(B517="","",IFERROR(INDEX(Leads!$B:$B,MATCH(B517,Leads!$A:$A,0)),""))</f>
        <v/>
      </c>
      <c r="E517" s="36"/>
      <c r="F517" s="36"/>
      <c r="G517" s="36"/>
      <c r="H517" s="35"/>
      <c r="I517" s="36"/>
    </row>
    <row r="518" customFormat="false" ht="15" hidden="false" customHeight="false" outlineLevel="0" collapsed="false">
      <c r="A518" s="35"/>
      <c r="B518" s="36"/>
      <c r="C518" s="11" t="str">
        <f aca="false">IF(B518="","",IFERROR(INDEX(Leads!$C:$C,MATCH(B518,Leads!$A:$A,0)),"ID not found"))</f>
        <v/>
      </c>
      <c r="D518" s="11" t="str">
        <f aca="false">IF(B518="","",IFERROR(INDEX(Leads!$B:$B,MATCH(B518,Leads!$A:$A,0)),""))</f>
        <v/>
      </c>
      <c r="E518" s="36"/>
      <c r="F518" s="36"/>
      <c r="G518" s="36"/>
      <c r="H518" s="35"/>
      <c r="I518" s="36"/>
    </row>
    <row r="519" customFormat="false" ht="15" hidden="false" customHeight="false" outlineLevel="0" collapsed="false">
      <c r="A519" s="35"/>
      <c r="B519" s="36"/>
      <c r="C519" s="11" t="str">
        <f aca="false">IF(B519="","",IFERROR(INDEX(Leads!$C:$C,MATCH(B519,Leads!$A:$A,0)),"ID not found"))</f>
        <v/>
      </c>
      <c r="D519" s="11" t="str">
        <f aca="false">IF(B519="","",IFERROR(INDEX(Leads!$B:$B,MATCH(B519,Leads!$A:$A,0)),""))</f>
        <v/>
      </c>
      <c r="E519" s="36"/>
      <c r="F519" s="36"/>
      <c r="G519" s="36"/>
      <c r="H519" s="35"/>
      <c r="I519" s="36"/>
    </row>
    <row r="520" customFormat="false" ht="15" hidden="false" customHeight="false" outlineLevel="0" collapsed="false">
      <c r="A520" s="35"/>
      <c r="B520" s="36"/>
      <c r="C520" s="11" t="str">
        <f aca="false">IF(B520="","",IFERROR(INDEX(Leads!$C:$C,MATCH(B520,Leads!$A:$A,0)),"ID not found"))</f>
        <v/>
      </c>
      <c r="D520" s="11" t="str">
        <f aca="false">IF(B520="","",IFERROR(INDEX(Leads!$B:$B,MATCH(B520,Leads!$A:$A,0)),""))</f>
        <v/>
      </c>
      <c r="E520" s="36"/>
      <c r="F520" s="36"/>
      <c r="G520" s="36"/>
      <c r="H520" s="35"/>
      <c r="I520" s="36"/>
    </row>
    <row r="521" customFormat="false" ht="15" hidden="false" customHeight="false" outlineLevel="0" collapsed="false">
      <c r="A521" s="35"/>
      <c r="B521" s="36"/>
      <c r="C521" s="11" t="str">
        <f aca="false">IF(B521="","",IFERROR(INDEX(Leads!$C:$C,MATCH(B521,Leads!$A:$A,0)),"ID not found"))</f>
        <v/>
      </c>
      <c r="D521" s="11" t="str">
        <f aca="false">IF(B521="","",IFERROR(INDEX(Leads!$B:$B,MATCH(B521,Leads!$A:$A,0)),""))</f>
        <v/>
      </c>
      <c r="E521" s="36"/>
      <c r="F521" s="36"/>
      <c r="G521" s="36"/>
      <c r="H521" s="35"/>
      <c r="I521" s="36"/>
    </row>
    <row r="522" customFormat="false" ht="15" hidden="false" customHeight="false" outlineLevel="0" collapsed="false">
      <c r="A522" s="35"/>
      <c r="B522" s="36"/>
      <c r="C522" s="11" t="str">
        <f aca="false">IF(B522="","",IFERROR(INDEX(Leads!$C:$C,MATCH(B522,Leads!$A:$A,0)),"ID not found"))</f>
        <v/>
      </c>
      <c r="D522" s="11" t="str">
        <f aca="false">IF(B522="","",IFERROR(INDEX(Leads!$B:$B,MATCH(B522,Leads!$A:$A,0)),""))</f>
        <v/>
      </c>
      <c r="E522" s="36"/>
      <c r="F522" s="36"/>
      <c r="G522" s="36"/>
      <c r="H522" s="35"/>
      <c r="I522" s="36"/>
    </row>
    <row r="523" customFormat="false" ht="15" hidden="false" customHeight="false" outlineLevel="0" collapsed="false">
      <c r="A523" s="35"/>
      <c r="B523" s="36"/>
      <c r="C523" s="11" t="str">
        <f aca="false">IF(B523="","",IFERROR(INDEX(Leads!$C:$C,MATCH(B523,Leads!$A:$A,0)),"ID not found"))</f>
        <v/>
      </c>
      <c r="D523" s="11" t="str">
        <f aca="false">IF(B523="","",IFERROR(INDEX(Leads!$B:$B,MATCH(B523,Leads!$A:$A,0)),""))</f>
        <v/>
      </c>
      <c r="E523" s="36"/>
      <c r="F523" s="36"/>
      <c r="G523" s="36"/>
      <c r="H523" s="35"/>
      <c r="I523" s="36"/>
    </row>
    <row r="524" customFormat="false" ht="15" hidden="false" customHeight="false" outlineLevel="0" collapsed="false">
      <c r="A524" s="35"/>
      <c r="B524" s="36"/>
      <c r="C524" s="11" t="str">
        <f aca="false">IF(B524="","",IFERROR(INDEX(Leads!$C:$C,MATCH(B524,Leads!$A:$A,0)),"ID not found"))</f>
        <v/>
      </c>
      <c r="D524" s="11" t="str">
        <f aca="false">IF(B524="","",IFERROR(INDEX(Leads!$B:$B,MATCH(B524,Leads!$A:$A,0)),""))</f>
        <v/>
      </c>
      <c r="E524" s="36"/>
      <c r="F524" s="36"/>
      <c r="G524" s="36"/>
      <c r="H524" s="35"/>
      <c r="I524" s="36"/>
    </row>
    <row r="525" customFormat="false" ht="15" hidden="false" customHeight="false" outlineLevel="0" collapsed="false">
      <c r="A525" s="35"/>
      <c r="B525" s="36"/>
      <c r="C525" s="11" t="str">
        <f aca="false">IF(B525="","",IFERROR(INDEX(Leads!$C:$C,MATCH(B525,Leads!$A:$A,0)),"ID not found"))</f>
        <v/>
      </c>
      <c r="D525" s="11" t="str">
        <f aca="false">IF(B525="","",IFERROR(INDEX(Leads!$B:$B,MATCH(B525,Leads!$A:$A,0)),""))</f>
        <v/>
      </c>
      <c r="E525" s="36"/>
      <c r="F525" s="36"/>
      <c r="G525" s="36"/>
      <c r="H525" s="35"/>
      <c r="I525" s="36"/>
    </row>
    <row r="526" customFormat="false" ht="15" hidden="false" customHeight="false" outlineLevel="0" collapsed="false">
      <c r="A526" s="35"/>
      <c r="B526" s="36"/>
      <c r="C526" s="11" t="str">
        <f aca="false">IF(B526="","",IFERROR(INDEX(Leads!$C:$C,MATCH(B526,Leads!$A:$A,0)),"ID not found"))</f>
        <v/>
      </c>
      <c r="D526" s="11" t="str">
        <f aca="false">IF(B526="","",IFERROR(INDEX(Leads!$B:$B,MATCH(B526,Leads!$A:$A,0)),""))</f>
        <v/>
      </c>
      <c r="E526" s="36"/>
      <c r="F526" s="36"/>
      <c r="G526" s="36"/>
      <c r="H526" s="35"/>
      <c r="I526" s="36"/>
    </row>
    <row r="527" customFormat="false" ht="15" hidden="false" customHeight="false" outlineLevel="0" collapsed="false">
      <c r="A527" s="35"/>
      <c r="B527" s="36"/>
      <c r="C527" s="11" t="str">
        <f aca="false">IF(B527="","",IFERROR(INDEX(Leads!$C:$C,MATCH(B527,Leads!$A:$A,0)),"ID not found"))</f>
        <v/>
      </c>
      <c r="D527" s="11" t="str">
        <f aca="false">IF(B527="","",IFERROR(INDEX(Leads!$B:$B,MATCH(B527,Leads!$A:$A,0)),""))</f>
        <v/>
      </c>
      <c r="E527" s="36"/>
      <c r="F527" s="36"/>
      <c r="G527" s="36"/>
      <c r="H527" s="35"/>
      <c r="I527" s="36"/>
    </row>
    <row r="528" customFormat="false" ht="15" hidden="false" customHeight="false" outlineLevel="0" collapsed="false">
      <c r="A528" s="35"/>
      <c r="B528" s="36"/>
      <c r="C528" s="11" t="str">
        <f aca="false">IF(B528="","",IFERROR(INDEX(Leads!$C:$C,MATCH(B528,Leads!$A:$A,0)),"ID not found"))</f>
        <v/>
      </c>
      <c r="D528" s="11" t="str">
        <f aca="false">IF(B528="","",IFERROR(INDEX(Leads!$B:$B,MATCH(B528,Leads!$A:$A,0)),""))</f>
        <v/>
      </c>
      <c r="E528" s="36"/>
      <c r="F528" s="36"/>
      <c r="G528" s="36"/>
      <c r="H528" s="35"/>
      <c r="I528" s="36"/>
    </row>
    <row r="529" customFormat="false" ht="15" hidden="false" customHeight="false" outlineLevel="0" collapsed="false">
      <c r="A529" s="35"/>
      <c r="B529" s="36"/>
      <c r="C529" s="11" t="str">
        <f aca="false">IF(B529="","",IFERROR(INDEX(Leads!$C:$C,MATCH(B529,Leads!$A:$A,0)),"ID not found"))</f>
        <v/>
      </c>
      <c r="D529" s="11" t="str">
        <f aca="false">IF(B529="","",IFERROR(INDEX(Leads!$B:$B,MATCH(B529,Leads!$A:$A,0)),""))</f>
        <v/>
      </c>
      <c r="E529" s="36"/>
      <c r="F529" s="36"/>
      <c r="G529" s="36"/>
      <c r="H529" s="35"/>
      <c r="I529" s="36"/>
    </row>
    <row r="530" customFormat="false" ht="15" hidden="false" customHeight="false" outlineLevel="0" collapsed="false">
      <c r="A530" s="35"/>
      <c r="B530" s="36"/>
      <c r="C530" s="11" t="str">
        <f aca="false">IF(B530="","",IFERROR(INDEX(Leads!$C:$C,MATCH(B530,Leads!$A:$A,0)),"ID not found"))</f>
        <v/>
      </c>
      <c r="D530" s="11" t="str">
        <f aca="false">IF(B530="","",IFERROR(INDEX(Leads!$B:$B,MATCH(B530,Leads!$A:$A,0)),""))</f>
        <v/>
      </c>
      <c r="E530" s="36"/>
      <c r="F530" s="36"/>
      <c r="G530" s="36"/>
      <c r="H530" s="35"/>
      <c r="I530" s="36"/>
    </row>
    <row r="531" customFormat="false" ht="15" hidden="false" customHeight="false" outlineLevel="0" collapsed="false">
      <c r="A531" s="35"/>
      <c r="B531" s="36"/>
      <c r="C531" s="11" t="str">
        <f aca="false">IF(B531="","",IFERROR(INDEX(Leads!$C:$C,MATCH(B531,Leads!$A:$A,0)),"ID not found"))</f>
        <v/>
      </c>
      <c r="D531" s="11" t="str">
        <f aca="false">IF(B531="","",IFERROR(INDEX(Leads!$B:$B,MATCH(B531,Leads!$A:$A,0)),""))</f>
        <v/>
      </c>
      <c r="E531" s="36"/>
      <c r="F531" s="36"/>
      <c r="G531" s="36"/>
      <c r="H531" s="35"/>
      <c r="I531" s="36"/>
    </row>
    <row r="532" customFormat="false" ht="15" hidden="false" customHeight="false" outlineLevel="0" collapsed="false">
      <c r="A532" s="35"/>
      <c r="B532" s="36"/>
      <c r="C532" s="11" t="str">
        <f aca="false">IF(B532="","",IFERROR(INDEX(Leads!$C:$C,MATCH(B532,Leads!$A:$A,0)),"ID not found"))</f>
        <v/>
      </c>
      <c r="D532" s="11" t="str">
        <f aca="false">IF(B532="","",IFERROR(INDEX(Leads!$B:$B,MATCH(B532,Leads!$A:$A,0)),""))</f>
        <v/>
      </c>
      <c r="E532" s="36"/>
      <c r="F532" s="36"/>
      <c r="G532" s="36"/>
      <c r="H532" s="35"/>
      <c r="I532" s="36"/>
    </row>
    <row r="533" customFormat="false" ht="15" hidden="false" customHeight="false" outlineLevel="0" collapsed="false">
      <c r="A533" s="35"/>
      <c r="B533" s="36"/>
      <c r="C533" s="11" t="str">
        <f aca="false">IF(B533="","",IFERROR(INDEX(Leads!$C:$C,MATCH(B533,Leads!$A:$A,0)),"ID not found"))</f>
        <v/>
      </c>
      <c r="D533" s="11" t="str">
        <f aca="false">IF(B533="","",IFERROR(INDEX(Leads!$B:$B,MATCH(B533,Leads!$A:$A,0)),""))</f>
        <v/>
      </c>
      <c r="E533" s="36"/>
      <c r="F533" s="36"/>
      <c r="G533" s="36"/>
      <c r="H533" s="35"/>
      <c r="I533" s="36"/>
    </row>
    <row r="534" customFormat="false" ht="15" hidden="false" customHeight="false" outlineLevel="0" collapsed="false">
      <c r="A534" s="35"/>
      <c r="B534" s="36"/>
      <c r="C534" s="11" t="str">
        <f aca="false">IF(B534="","",IFERROR(INDEX(Leads!$C:$C,MATCH(B534,Leads!$A:$A,0)),"ID not found"))</f>
        <v/>
      </c>
      <c r="D534" s="11" t="str">
        <f aca="false">IF(B534="","",IFERROR(INDEX(Leads!$B:$B,MATCH(B534,Leads!$A:$A,0)),""))</f>
        <v/>
      </c>
      <c r="E534" s="36"/>
      <c r="F534" s="36"/>
      <c r="G534" s="36"/>
      <c r="H534" s="35"/>
      <c r="I534" s="36"/>
    </row>
    <row r="535" customFormat="false" ht="15" hidden="false" customHeight="false" outlineLevel="0" collapsed="false">
      <c r="A535" s="35"/>
      <c r="B535" s="36"/>
      <c r="C535" s="11" t="str">
        <f aca="false">IF(B535="","",IFERROR(INDEX(Leads!$C:$C,MATCH(B535,Leads!$A:$A,0)),"ID not found"))</f>
        <v/>
      </c>
      <c r="D535" s="11" t="str">
        <f aca="false">IF(B535="","",IFERROR(INDEX(Leads!$B:$B,MATCH(B535,Leads!$A:$A,0)),""))</f>
        <v/>
      </c>
      <c r="E535" s="36"/>
      <c r="F535" s="36"/>
      <c r="G535" s="36"/>
      <c r="H535" s="35"/>
      <c r="I535" s="36"/>
    </row>
    <row r="536" customFormat="false" ht="15" hidden="false" customHeight="false" outlineLevel="0" collapsed="false">
      <c r="A536" s="35"/>
      <c r="B536" s="36"/>
      <c r="C536" s="11" t="str">
        <f aca="false">IF(B536="","",IFERROR(INDEX(Leads!$C:$C,MATCH(B536,Leads!$A:$A,0)),"ID not found"))</f>
        <v/>
      </c>
      <c r="D536" s="11" t="str">
        <f aca="false">IF(B536="","",IFERROR(INDEX(Leads!$B:$B,MATCH(B536,Leads!$A:$A,0)),""))</f>
        <v/>
      </c>
      <c r="E536" s="36"/>
      <c r="F536" s="36"/>
      <c r="G536" s="36"/>
      <c r="H536" s="35"/>
      <c r="I536" s="36"/>
    </row>
    <row r="537" customFormat="false" ht="15" hidden="false" customHeight="false" outlineLevel="0" collapsed="false">
      <c r="A537" s="35"/>
      <c r="B537" s="36"/>
      <c r="C537" s="11" t="str">
        <f aca="false">IF(B537="","",IFERROR(INDEX(Leads!$C:$C,MATCH(B537,Leads!$A:$A,0)),"ID not found"))</f>
        <v/>
      </c>
      <c r="D537" s="11" t="str">
        <f aca="false">IF(B537="","",IFERROR(INDEX(Leads!$B:$B,MATCH(B537,Leads!$A:$A,0)),""))</f>
        <v/>
      </c>
      <c r="E537" s="36"/>
      <c r="F537" s="36"/>
      <c r="G537" s="36"/>
      <c r="H537" s="35"/>
      <c r="I537" s="36"/>
    </row>
    <row r="538" customFormat="false" ht="15" hidden="false" customHeight="false" outlineLevel="0" collapsed="false">
      <c r="A538" s="35"/>
      <c r="B538" s="36"/>
      <c r="C538" s="11" t="str">
        <f aca="false">IF(B538="","",IFERROR(INDEX(Leads!$C:$C,MATCH(B538,Leads!$A:$A,0)),"ID not found"))</f>
        <v/>
      </c>
      <c r="D538" s="11" t="str">
        <f aca="false">IF(B538="","",IFERROR(INDEX(Leads!$B:$B,MATCH(B538,Leads!$A:$A,0)),""))</f>
        <v/>
      </c>
      <c r="E538" s="36"/>
      <c r="F538" s="36"/>
      <c r="G538" s="36"/>
      <c r="H538" s="35"/>
      <c r="I538" s="36"/>
    </row>
    <row r="539" customFormat="false" ht="15" hidden="false" customHeight="false" outlineLevel="0" collapsed="false">
      <c r="A539" s="35"/>
      <c r="B539" s="36"/>
      <c r="C539" s="11" t="str">
        <f aca="false">IF(B539="","",IFERROR(INDEX(Leads!$C:$C,MATCH(B539,Leads!$A:$A,0)),"ID not found"))</f>
        <v/>
      </c>
      <c r="D539" s="11" t="str">
        <f aca="false">IF(B539="","",IFERROR(INDEX(Leads!$B:$B,MATCH(B539,Leads!$A:$A,0)),""))</f>
        <v/>
      </c>
      <c r="E539" s="36"/>
      <c r="F539" s="36"/>
      <c r="G539" s="36"/>
      <c r="H539" s="35"/>
      <c r="I539" s="36"/>
    </row>
    <row r="540" customFormat="false" ht="15" hidden="false" customHeight="false" outlineLevel="0" collapsed="false">
      <c r="A540" s="35"/>
      <c r="B540" s="36"/>
      <c r="C540" s="11" t="str">
        <f aca="false">IF(B540="","",IFERROR(INDEX(Leads!$C:$C,MATCH(B540,Leads!$A:$A,0)),"ID not found"))</f>
        <v/>
      </c>
      <c r="D540" s="11" t="str">
        <f aca="false">IF(B540="","",IFERROR(INDEX(Leads!$B:$B,MATCH(B540,Leads!$A:$A,0)),""))</f>
        <v/>
      </c>
      <c r="E540" s="36"/>
      <c r="F540" s="36"/>
      <c r="G540" s="36"/>
      <c r="H540" s="35"/>
      <c r="I540" s="36"/>
    </row>
    <row r="541" customFormat="false" ht="15" hidden="false" customHeight="false" outlineLevel="0" collapsed="false">
      <c r="A541" s="35"/>
      <c r="B541" s="36"/>
      <c r="C541" s="11" t="str">
        <f aca="false">IF(B541="","",IFERROR(INDEX(Leads!$C:$C,MATCH(B541,Leads!$A:$A,0)),"ID not found"))</f>
        <v/>
      </c>
      <c r="D541" s="11" t="str">
        <f aca="false">IF(B541="","",IFERROR(INDEX(Leads!$B:$B,MATCH(B541,Leads!$A:$A,0)),""))</f>
        <v/>
      </c>
      <c r="E541" s="36"/>
      <c r="F541" s="36"/>
      <c r="G541" s="36"/>
      <c r="H541" s="35"/>
      <c r="I541" s="36"/>
    </row>
    <row r="542" customFormat="false" ht="15" hidden="false" customHeight="false" outlineLevel="0" collapsed="false">
      <c r="A542" s="35"/>
      <c r="B542" s="36"/>
      <c r="C542" s="11" t="str">
        <f aca="false">IF(B542="","",IFERROR(INDEX(Leads!$C:$C,MATCH(B542,Leads!$A:$A,0)),"ID not found"))</f>
        <v/>
      </c>
      <c r="D542" s="11" t="str">
        <f aca="false">IF(B542="","",IFERROR(INDEX(Leads!$B:$B,MATCH(B542,Leads!$A:$A,0)),""))</f>
        <v/>
      </c>
      <c r="E542" s="36"/>
      <c r="F542" s="36"/>
      <c r="G542" s="36"/>
      <c r="H542" s="35"/>
      <c r="I542" s="36"/>
    </row>
    <row r="543" customFormat="false" ht="15" hidden="false" customHeight="false" outlineLevel="0" collapsed="false">
      <c r="A543" s="35"/>
      <c r="B543" s="36"/>
      <c r="C543" s="11" t="str">
        <f aca="false">IF(B543="","",IFERROR(INDEX(Leads!$C:$C,MATCH(B543,Leads!$A:$A,0)),"ID not found"))</f>
        <v/>
      </c>
      <c r="D543" s="11" t="str">
        <f aca="false">IF(B543="","",IFERROR(INDEX(Leads!$B:$B,MATCH(B543,Leads!$A:$A,0)),""))</f>
        <v/>
      </c>
      <c r="E543" s="36"/>
      <c r="F543" s="36"/>
      <c r="G543" s="36"/>
      <c r="H543" s="35"/>
      <c r="I543" s="36"/>
    </row>
    <row r="544" customFormat="false" ht="15" hidden="false" customHeight="false" outlineLevel="0" collapsed="false">
      <c r="A544" s="35"/>
      <c r="B544" s="36"/>
      <c r="C544" s="11" t="str">
        <f aca="false">IF(B544="","",IFERROR(INDEX(Leads!$C:$C,MATCH(B544,Leads!$A:$A,0)),"ID not found"))</f>
        <v/>
      </c>
      <c r="D544" s="11" t="str">
        <f aca="false">IF(B544="","",IFERROR(INDEX(Leads!$B:$B,MATCH(B544,Leads!$A:$A,0)),""))</f>
        <v/>
      </c>
      <c r="E544" s="36"/>
      <c r="F544" s="36"/>
      <c r="G544" s="36"/>
      <c r="H544" s="35"/>
      <c r="I544" s="36"/>
    </row>
    <row r="545" customFormat="false" ht="15" hidden="false" customHeight="false" outlineLevel="0" collapsed="false">
      <c r="A545" s="35"/>
      <c r="B545" s="36"/>
      <c r="C545" s="11" t="str">
        <f aca="false">IF(B545="","",IFERROR(INDEX(Leads!$C:$C,MATCH(B545,Leads!$A:$A,0)),"ID not found"))</f>
        <v/>
      </c>
      <c r="D545" s="11" t="str">
        <f aca="false">IF(B545="","",IFERROR(INDEX(Leads!$B:$B,MATCH(B545,Leads!$A:$A,0)),""))</f>
        <v/>
      </c>
      <c r="E545" s="36"/>
      <c r="F545" s="36"/>
      <c r="G545" s="36"/>
      <c r="H545" s="35"/>
      <c r="I545" s="36"/>
    </row>
    <row r="546" customFormat="false" ht="15" hidden="false" customHeight="false" outlineLevel="0" collapsed="false">
      <c r="A546" s="35"/>
      <c r="B546" s="36"/>
      <c r="C546" s="11" t="str">
        <f aca="false">IF(B546="","",IFERROR(INDEX(Leads!$C:$C,MATCH(B546,Leads!$A:$A,0)),"ID not found"))</f>
        <v/>
      </c>
      <c r="D546" s="11" t="str">
        <f aca="false">IF(B546="","",IFERROR(INDEX(Leads!$B:$B,MATCH(B546,Leads!$A:$A,0)),""))</f>
        <v/>
      </c>
      <c r="E546" s="36"/>
      <c r="F546" s="36"/>
      <c r="G546" s="36"/>
      <c r="H546" s="35"/>
      <c r="I546" s="36"/>
    </row>
    <row r="547" customFormat="false" ht="15" hidden="false" customHeight="false" outlineLevel="0" collapsed="false">
      <c r="A547" s="35"/>
      <c r="B547" s="36"/>
      <c r="C547" s="11" t="str">
        <f aca="false">IF(B547="","",IFERROR(INDEX(Leads!$C:$C,MATCH(B547,Leads!$A:$A,0)),"ID not found"))</f>
        <v/>
      </c>
      <c r="D547" s="11" t="str">
        <f aca="false">IF(B547="","",IFERROR(INDEX(Leads!$B:$B,MATCH(B547,Leads!$A:$A,0)),""))</f>
        <v/>
      </c>
      <c r="E547" s="36"/>
      <c r="F547" s="36"/>
      <c r="G547" s="36"/>
      <c r="H547" s="35"/>
      <c r="I547" s="36"/>
    </row>
    <row r="548" customFormat="false" ht="15" hidden="false" customHeight="false" outlineLevel="0" collapsed="false">
      <c r="A548" s="35"/>
      <c r="B548" s="36"/>
      <c r="C548" s="11" t="str">
        <f aca="false">IF(B548="","",IFERROR(INDEX(Leads!$C:$C,MATCH(B548,Leads!$A:$A,0)),"ID not found"))</f>
        <v/>
      </c>
      <c r="D548" s="11" t="str">
        <f aca="false">IF(B548="","",IFERROR(INDEX(Leads!$B:$B,MATCH(B548,Leads!$A:$A,0)),""))</f>
        <v/>
      </c>
      <c r="E548" s="36"/>
      <c r="F548" s="36"/>
      <c r="G548" s="36"/>
      <c r="H548" s="35"/>
      <c r="I548" s="36"/>
    </row>
    <row r="549" customFormat="false" ht="15" hidden="false" customHeight="false" outlineLevel="0" collapsed="false">
      <c r="A549" s="35"/>
      <c r="B549" s="36"/>
      <c r="C549" s="11" t="str">
        <f aca="false">IF(B549="","",IFERROR(INDEX(Leads!$C:$C,MATCH(B549,Leads!$A:$A,0)),"ID not found"))</f>
        <v/>
      </c>
      <c r="D549" s="11" t="str">
        <f aca="false">IF(B549="","",IFERROR(INDEX(Leads!$B:$B,MATCH(B549,Leads!$A:$A,0)),""))</f>
        <v/>
      </c>
      <c r="E549" s="36"/>
      <c r="F549" s="36"/>
      <c r="G549" s="36"/>
      <c r="H549" s="35"/>
      <c r="I549" s="36"/>
    </row>
    <row r="550" customFormat="false" ht="15" hidden="false" customHeight="false" outlineLevel="0" collapsed="false">
      <c r="A550" s="35"/>
      <c r="B550" s="36"/>
      <c r="C550" s="11" t="str">
        <f aca="false">IF(B550="","",IFERROR(INDEX(Leads!$C:$C,MATCH(B550,Leads!$A:$A,0)),"ID not found"))</f>
        <v/>
      </c>
      <c r="D550" s="11" t="str">
        <f aca="false">IF(B550="","",IFERROR(INDEX(Leads!$B:$B,MATCH(B550,Leads!$A:$A,0)),""))</f>
        <v/>
      </c>
      <c r="E550" s="36"/>
      <c r="F550" s="36"/>
      <c r="G550" s="36"/>
      <c r="H550" s="35"/>
      <c r="I550" s="36"/>
    </row>
    <row r="551" customFormat="false" ht="15" hidden="false" customHeight="false" outlineLevel="0" collapsed="false">
      <c r="A551" s="35"/>
      <c r="B551" s="36"/>
      <c r="C551" s="11" t="str">
        <f aca="false">IF(B551="","",IFERROR(INDEX(Leads!$C:$C,MATCH(B551,Leads!$A:$A,0)),"ID not found"))</f>
        <v/>
      </c>
      <c r="D551" s="11" t="str">
        <f aca="false">IF(B551="","",IFERROR(INDEX(Leads!$B:$B,MATCH(B551,Leads!$A:$A,0)),""))</f>
        <v/>
      </c>
      <c r="E551" s="36"/>
      <c r="F551" s="36"/>
      <c r="G551" s="36"/>
      <c r="H551" s="35"/>
      <c r="I551" s="36"/>
    </row>
    <row r="552" customFormat="false" ht="15" hidden="false" customHeight="false" outlineLevel="0" collapsed="false">
      <c r="A552" s="35"/>
      <c r="B552" s="36"/>
      <c r="C552" s="11" t="str">
        <f aca="false">IF(B552="","",IFERROR(INDEX(Leads!$C:$C,MATCH(B552,Leads!$A:$A,0)),"ID not found"))</f>
        <v/>
      </c>
      <c r="D552" s="11" t="str">
        <f aca="false">IF(B552="","",IFERROR(INDEX(Leads!$B:$B,MATCH(B552,Leads!$A:$A,0)),""))</f>
        <v/>
      </c>
      <c r="E552" s="36"/>
      <c r="F552" s="36"/>
      <c r="G552" s="36"/>
      <c r="H552" s="35"/>
      <c r="I552" s="36"/>
    </row>
    <row r="553" customFormat="false" ht="15" hidden="false" customHeight="false" outlineLevel="0" collapsed="false">
      <c r="A553" s="35"/>
      <c r="B553" s="36"/>
      <c r="C553" s="11" t="str">
        <f aca="false">IF(B553="","",IFERROR(INDEX(Leads!$C:$C,MATCH(B553,Leads!$A:$A,0)),"ID not found"))</f>
        <v/>
      </c>
      <c r="D553" s="11" t="str">
        <f aca="false">IF(B553="","",IFERROR(INDEX(Leads!$B:$B,MATCH(B553,Leads!$A:$A,0)),""))</f>
        <v/>
      </c>
      <c r="E553" s="36"/>
      <c r="F553" s="36"/>
      <c r="G553" s="36"/>
      <c r="H553" s="35"/>
      <c r="I553" s="36"/>
    </row>
    <row r="554" customFormat="false" ht="15" hidden="false" customHeight="false" outlineLevel="0" collapsed="false">
      <c r="A554" s="35"/>
      <c r="B554" s="36"/>
      <c r="C554" s="11" t="str">
        <f aca="false">IF(B554="","",IFERROR(INDEX(Leads!$C:$C,MATCH(B554,Leads!$A:$A,0)),"ID not found"))</f>
        <v/>
      </c>
      <c r="D554" s="11" t="str">
        <f aca="false">IF(B554="","",IFERROR(INDEX(Leads!$B:$B,MATCH(B554,Leads!$A:$A,0)),""))</f>
        <v/>
      </c>
      <c r="E554" s="36"/>
      <c r="F554" s="36"/>
      <c r="G554" s="36"/>
      <c r="H554" s="35"/>
      <c r="I554" s="36"/>
    </row>
    <row r="555" customFormat="false" ht="15" hidden="false" customHeight="false" outlineLevel="0" collapsed="false">
      <c r="A555" s="35"/>
      <c r="B555" s="36"/>
      <c r="C555" s="11" t="str">
        <f aca="false">IF(B555="","",IFERROR(INDEX(Leads!$C:$C,MATCH(B555,Leads!$A:$A,0)),"ID not found"))</f>
        <v/>
      </c>
      <c r="D555" s="11" t="str">
        <f aca="false">IF(B555="","",IFERROR(INDEX(Leads!$B:$B,MATCH(B555,Leads!$A:$A,0)),""))</f>
        <v/>
      </c>
      <c r="E555" s="36"/>
      <c r="F555" s="36"/>
      <c r="G555" s="36"/>
      <c r="H555" s="35"/>
      <c r="I555" s="36"/>
    </row>
    <row r="556" customFormat="false" ht="15" hidden="false" customHeight="false" outlineLevel="0" collapsed="false">
      <c r="A556" s="35"/>
      <c r="B556" s="36"/>
      <c r="C556" s="11" t="str">
        <f aca="false">IF(B556="","",IFERROR(INDEX(Leads!$C:$C,MATCH(B556,Leads!$A:$A,0)),"ID not found"))</f>
        <v/>
      </c>
      <c r="D556" s="11" t="str">
        <f aca="false">IF(B556="","",IFERROR(INDEX(Leads!$B:$B,MATCH(B556,Leads!$A:$A,0)),""))</f>
        <v/>
      </c>
      <c r="E556" s="36"/>
      <c r="F556" s="36"/>
      <c r="G556" s="36"/>
      <c r="H556" s="35"/>
      <c r="I556" s="36"/>
    </row>
    <row r="557" customFormat="false" ht="15" hidden="false" customHeight="false" outlineLevel="0" collapsed="false">
      <c r="A557" s="35"/>
      <c r="B557" s="36"/>
      <c r="C557" s="11" t="str">
        <f aca="false">IF(B557="","",IFERROR(INDEX(Leads!$C:$C,MATCH(B557,Leads!$A:$A,0)),"ID not found"))</f>
        <v/>
      </c>
      <c r="D557" s="11" t="str">
        <f aca="false">IF(B557="","",IFERROR(INDEX(Leads!$B:$B,MATCH(B557,Leads!$A:$A,0)),""))</f>
        <v/>
      </c>
      <c r="E557" s="36"/>
      <c r="F557" s="36"/>
      <c r="G557" s="36"/>
      <c r="H557" s="35"/>
      <c r="I557" s="36"/>
    </row>
    <row r="558" customFormat="false" ht="15" hidden="false" customHeight="false" outlineLevel="0" collapsed="false">
      <c r="A558" s="35"/>
      <c r="B558" s="36"/>
      <c r="C558" s="11" t="str">
        <f aca="false">IF(B558="","",IFERROR(INDEX(Leads!$C:$C,MATCH(B558,Leads!$A:$A,0)),"ID not found"))</f>
        <v/>
      </c>
      <c r="D558" s="11" t="str">
        <f aca="false">IF(B558="","",IFERROR(INDEX(Leads!$B:$B,MATCH(B558,Leads!$A:$A,0)),""))</f>
        <v/>
      </c>
      <c r="E558" s="36"/>
      <c r="F558" s="36"/>
      <c r="G558" s="36"/>
      <c r="H558" s="35"/>
      <c r="I558" s="36"/>
    </row>
    <row r="559" customFormat="false" ht="15" hidden="false" customHeight="false" outlineLevel="0" collapsed="false">
      <c r="A559" s="35"/>
      <c r="B559" s="36"/>
      <c r="C559" s="11" t="str">
        <f aca="false">IF(B559="","",IFERROR(INDEX(Leads!$C:$C,MATCH(B559,Leads!$A:$A,0)),"ID not found"))</f>
        <v/>
      </c>
      <c r="D559" s="11" t="str">
        <f aca="false">IF(B559="","",IFERROR(INDEX(Leads!$B:$B,MATCH(B559,Leads!$A:$A,0)),""))</f>
        <v/>
      </c>
      <c r="E559" s="36"/>
      <c r="F559" s="36"/>
      <c r="G559" s="36"/>
      <c r="H559" s="35"/>
      <c r="I559" s="36"/>
    </row>
    <row r="560" customFormat="false" ht="15" hidden="false" customHeight="false" outlineLevel="0" collapsed="false">
      <c r="A560" s="35"/>
      <c r="B560" s="36"/>
      <c r="C560" s="11" t="str">
        <f aca="false">IF(B560="","",IFERROR(INDEX(Leads!$C:$C,MATCH(B560,Leads!$A:$A,0)),"ID not found"))</f>
        <v/>
      </c>
      <c r="D560" s="11" t="str">
        <f aca="false">IF(B560="","",IFERROR(INDEX(Leads!$B:$B,MATCH(B560,Leads!$A:$A,0)),""))</f>
        <v/>
      </c>
      <c r="E560" s="36"/>
      <c r="F560" s="36"/>
      <c r="G560" s="36"/>
      <c r="H560" s="35"/>
      <c r="I560" s="36"/>
    </row>
    <row r="561" customFormat="false" ht="15" hidden="false" customHeight="false" outlineLevel="0" collapsed="false">
      <c r="A561" s="35"/>
      <c r="B561" s="36"/>
      <c r="C561" s="11" t="str">
        <f aca="false">IF(B561="","",IFERROR(INDEX(Leads!$C:$C,MATCH(B561,Leads!$A:$A,0)),"ID not found"))</f>
        <v/>
      </c>
      <c r="D561" s="11" t="str">
        <f aca="false">IF(B561="","",IFERROR(INDEX(Leads!$B:$B,MATCH(B561,Leads!$A:$A,0)),""))</f>
        <v/>
      </c>
      <c r="E561" s="36"/>
      <c r="F561" s="36"/>
      <c r="G561" s="36"/>
      <c r="H561" s="35"/>
      <c r="I561" s="36"/>
    </row>
    <row r="562" customFormat="false" ht="15" hidden="false" customHeight="false" outlineLevel="0" collapsed="false">
      <c r="A562" s="35"/>
      <c r="B562" s="36"/>
      <c r="C562" s="11" t="str">
        <f aca="false">IF(B562="","",IFERROR(INDEX(Leads!$C:$C,MATCH(B562,Leads!$A:$A,0)),"ID not found"))</f>
        <v/>
      </c>
      <c r="D562" s="11" t="str">
        <f aca="false">IF(B562="","",IFERROR(INDEX(Leads!$B:$B,MATCH(B562,Leads!$A:$A,0)),""))</f>
        <v/>
      </c>
      <c r="E562" s="36"/>
      <c r="F562" s="36"/>
      <c r="G562" s="36"/>
      <c r="H562" s="35"/>
      <c r="I562" s="36"/>
    </row>
    <row r="563" customFormat="false" ht="15" hidden="false" customHeight="false" outlineLevel="0" collapsed="false">
      <c r="A563" s="35"/>
      <c r="B563" s="36"/>
      <c r="C563" s="11" t="str">
        <f aca="false">IF(B563="","",IFERROR(INDEX(Leads!$C:$C,MATCH(B563,Leads!$A:$A,0)),"ID not found"))</f>
        <v/>
      </c>
      <c r="D563" s="11" t="str">
        <f aca="false">IF(B563="","",IFERROR(INDEX(Leads!$B:$B,MATCH(B563,Leads!$A:$A,0)),""))</f>
        <v/>
      </c>
      <c r="E563" s="36"/>
      <c r="F563" s="36"/>
      <c r="G563" s="36"/>
      <c r="H563" s="35"/>
      <c r="I563" s="36"/>
    </row>
    <row r="564" customFormat="false" ht="15" hidden="false" customHeight="false" outlineLevel="0" collapsed="false">
      <c r="A564" s="35"/>
      <c r="B564" s="36"/>
      <c r="C564" s="11" t="str">
        <f aca="false">IF(B564="","",IFERROR(INDEX(Leads!$C:$C,MATCH(B564,Leads!$A:$A,0)),"ID not found"))</f>
        <v/>
      </c>
      <c r="D564" s="11" t="str">
        <f aca="false">IF(B564="","",IFERROR(INDEX(Leads!$B:$B,MATCH(B564,Leads!$A:$A,0)),""))</f>
        <v/>
      </c>
      <c r="E564" s="36"/>
      <c r="F564" s="36"/>
      <c r="G564" s="36"/>
      <c r="H564" s="35"/>
      <c r="I564" s="36"/>
    </row>
    <row r="565" customFormat="false" ht="15" hidden="false" customHeight="false" outlineLevel="0" collapsed="false">
      <c r="A565" s="35"/>
      <c r="B565" s="36"/>
      <c r="C565" s="11" t="str">
        <f aca="false">IF(B565="","",IFERROR(INDEX(Leads!$C:$C,MATCH(B565,Leads!$A:$A,0)),"ID not found"))</f>
        <v/>
      </c>
      <c r="D565" s="11" t="str">
        <f aca="false">IF(B565="","",IFERROR(INDEX(Leads!$B:$B,MATCH(B565,Leads!$A:$A,0)),""))</f>
        <v/>
      </c>
      <c r="E565" s="36"/>
      <c r="F565" s="36"/>
      <c r="G565" s="36"/>
      <c r="H565" s="35"/>
      <c r="I565" s="36"/>
    </row>
    <row r="566" customFormat="false" ht="15" hidden="false" customHeight="false" outlineLevel="0" collapsed="false">
      <c r="A566" s="35"/>
      <c r="B566" s="36"/>
      <c r="C566" s="11" t="str">
        <f aca="false">IF(B566="","",IFERROR(INDEX(Leads!$C:$C,MATCH(B566,Leads!$A:$A,0)),"ID not found"))</f>
        <v/>
      </c>
      <c r="D566" s="11" t="str">
        <f aca="false">IF(B566="","",IFERROR(INDEX(Leads!$B:$B,MATCH(B566,Leads!$A:$A,0)),""))</f>
        <v/>
      </c>
      <c r="E566" s="36"/>
      <c r="F566" s="36"/>
      <c r="G566" s="36"/>
      <c r="H566" s="35"/>
      <c r="I566" s="36"/>
    </row>
    <row r="567" customFormat="false" ht="15" hidden="false" customHeight="false" outlineLevel="0" collapsed="false">
      <c r="A567" s="35"/>
      <c r="B567" s="36"/>
      <c r="C567" s="11" t="str">
        <f aca="false">IF(B567="","",IFERROR(INDEX(Leads!$C:$C,MATCH(B567,Leads!$A:$A,0)),"ID not found"))</f>
        <v/>
      </c>
      <c r="D567" s="11" t="str">
        <f aca="false">IF(B567="","",IFERROR(INDEX(Leads!$B:$B,MATCH(B567,Leads!$A:$A,0)),""))</f>
        <v/>
      </c>
      <c r="E567" s="36"/>
      <c r="F567" s="36"/>
      <c r="G567" s="36"/>
      <c r="H567" s="35"/>
      <c r="I567" s="36"/>
    </row>
    <row r="568" customFormat="false" ht="15" hidden="false" customHeight="false" outlineLevel="0" collapsed="false">
      <c r="A568" s="35"/>
      <c r="B568" s="36"/>
      <c r="C568" s="11" t="str">
        <f aca="false">IF(B568="","",IFERROR(INDEX(Leads!$C:$C,MATCH(B568,Leads!$A:$A,0)),"ID not found"))</f>
        <v/>
      </c>
      <c r="D568" s="11" t="str">
        <f aca="false">IF(B568="","",IFERROR(INDEX(Leads!$B:$B,MATCH(B568,Leads!$A:$A,0)),""))</f>
        <v/>
      </c>
      <c r="E568" s="36"/>
      <c r="F568" s="36"/>
      <c r="G568" s="36"/>
      <c r="H568" s="35"/>
      <c r="I568" s="36"/>
    </row>
    <row r="569" customFormat="false" ht="15" hidden="false" customHeight="false" outlineLevel="0" collapsed="false">
      <c r="A569" s="35"/>
      <c r="B569" s="36"/>
      <c r="C569" s="11" t="str">
        <f aca="false">IF(B569="","",IFERROR(INDEX(Leads!$C:$C,MATCH(B569,Leads!$A:$A,0)),"ID not found"))</f>
        <v/>
      </c>
      <c r="D569" s="11" t="str">
        <f aca="false">IF(B569="","",IFERROR(INDEX(Leads!$B:$B,MATCH(B569,Leads!$A:$A,0)),""))</f>
        <v/>
      </c>
      <c r="E569" s="36"/>
      <c r="F569" s="36"/>
      <c r="G569" s="36"/>
      <c r="H569" s="35"/>
      <c r="I569" s="36"/>
    </row>
    <row r="570" customFormat="false" ht="15" hidden="false" customHeight="false" outlineLevel="0" collapsed="false">
      <c r="A570" s="35"/>
      <c r="B570" s="36"/>
      <c r="C570" s="11" t="str">
        <f aca="false">IF(B570="","",IFERROR(INDEX(Leads!$C:$C,MATCH(B570,Leads!$A:$A,0)),"ID not found"))</f>
        <v/>
      </c>
      <c r="D570" s="11" t="str">
        <f aca="false">IF(B570="","",IFERROR(INDEX(Leads!$B:$B,MATCH(B570,Leads!$A:$A,0)),""))</f>
        <v/>
      </c>
      <c r="E570" s="36"/>
      <c r="F570" s="36"/>
      <c r="G570" s="36"/>
      <c r="H570" s="35"/>
      <c r="I570" s="36"/>
    </row>
    <row r="571" customFormat="false" ht="15" hidden="false" customHeight="false" outlineLevel="0" collapsed="false">
      <c r="A571" s="35"/>
      <c r="B571" s="36"/>
      <c r="C571" s="11" t="str">
        <f aca="false">IF(B571="","",IFERROR(INDEX(Leads!$C:$C,MATCH(B571,Leads!$A:$A,0)),"ID not found"))</f>
        <v/>
      </c>
      <c r="D571" s="11" t="str">
        <f aca="false">IF(B571="","",IFERROR(INDEX(Leads!$B:$B,MATCH(B571,Leads!$A:$A,0)),""))</f>
        <v/>
      </c>
      <c r="E571" s="36"/>
      <c r="F571" s="36"/>
      <c r="G571" s="36"/>
      <c r="H571" s="35"/>
      <c r="I571" s="36"/>
    </row>
    <row r="572" customFormat="false" ht="15" hidden="false" customHeight="false" outlineLevel="0" collapsed="false">
      <c r="A572" s="35"/>
      <c r="B572" s="36"/>
      <c r="C572" s="11" t="str">
        <f aca="false">IF(B572="","",IFERROR(INDEX(Leads!$C:$C,MATCH(B572,Leads!$A:$A,0)),"ID not found"))</f>
        <v/>
      </c>
      <c r="D572" s="11" t="str">
        <f aca="false">IF(B572="","",IFERROR(INDEX(Leads!$B:$B,MATCH(B572,Leads!$A:$A,0)),""))</f>
        <v/>
      </c>
      <c r="E572" s="36"/>
      <c r="F572" s="36"/>
      <c r="G572" s="36"/>
      <c r="H572" s="35"/>
      <c r="I572" s="36"/>
    </row>
    <row r="573" customFormat="false" ht="15" hidden="false" customHeight="false" outlineLevel="0" collapsed="false">
      <c r="A573" s="35"/>
      <c r="B573" s="36"/>
      <c r="C573" s="11" t="str">
        <f aca="false">IF(B573="","",IFERROR(INDEX(Leads!$C:$C,MATCH(B573,Leads!$A:$A,0)),"ID not found"))</f>
        <v/>
      </c>
      <c r="D573" s="11" t="str">
        <f aca="false">IF(B573="","",IFERROR(INDEX(Leads!$B:$B,MATCH(B573,Leads!$A:$A,0)),""))</f>
        <v/>
      </c>
      <c r="E573" s="36"/>
      <c r="F573" s="36"/>
      <c r="G573" s="36"/>
      <c r="H573" s="35"/>
      <c r="I573" s="36"/>
    </row>
    <row r="574" customFormat="false" ht="15" hidden="false" customHeight="false" outlineLevel="0" collapsed="false">
      <c r="A574" s="35"/>
      <c r="B574" s="36"/>
      <c r="C574" s="11" t="str">
        <f aca="false">IF(B574="","",IFERROR(INDEX(Leads!$C:$C,MATCH(B574,Leads!$A:$A,0)),"ID not found"))</f>
        <v/>
      </c>
      <c r="D574" s="11" t="str">
        <f aca="false">IF(B574="","",IFERROR(INDEX(Leads!$B:$B,MATCH(B574,Leads!$A:$A,0)),""))</f>
        <v/>
      </c>
      <c r="E574" s="36"/>
      <c r="F574" s="36"/>
      <c r="G574" s="36"/>
      <c r="H574" s="35"/>
      <c r="I574" s="36"/>
    </row>
    <row r="575" customFormat="false" ht="15" hidden="false" customHeight="false" outlineLevel="0" collapsed="false">
      <c r="A575" s="35"/>
      <c r="B575" s="36"/>
      <c r="C575" s="11" t="str">
        <f aca="false">IF(B575="","",IFERROR(INDEX(Leads!$C:$C,MATCH(B575,Leads!$A:$A,0)),"ID not found"))</f>
        <v/>
      </c>
      <c r="D575" s="11" t="str">
        <f aca="false">IF(B575="","",IFERROR(INDEX(Leads!$B:$B,MATCH(B575,Leads!$A:$A,0)),""))</f>
        <v/>
      </c>
      <c r="E575" s="36"/>
      <c r="F575" s="36"/>
      <c r="G575" s="36"/>
      <c r="H575" s="35"/>
      <c r="I575" s="36"/>
    </row>
    <row r="576" customFormat="false" ht="15" hidden="false" customHeight="false" outlineLevel="0" collapsed="false">
      <c r="A576" s="35"/>
      <c r="B576" s="36"/>
      <c r="C576" s="11" t="str">
        <f aca="false">IF(B576="","",IFERROR(INDEX(Leads!$C:$C,MATCH(B576,Leads!$A:$A,0)),"ID not found"))</f>
        <v/>
      </c>
      <c r="D576" s="11" t="str">
        <f aca="false">IF(B576="","",IFERROR(INDEX(Leads!$B:$B,MATCH(B576,Leads!$A:$A,0)),""))</f>
        <v/>
      </c>
      <c r="E576" s="36"/>
      <c r="F576" s="36"/>
      <c r="G576" s="36"/>
      <c r="H576" s="35"/>
      <c r="I576" s="36"/>
    </row>
    <row r="577" customFormat="false" ht="15" hidden="false" customHeight="false" outlineLevel="0" collapsed="false">
      <c r="A577" s="35"/>
      <c r="B577" s="36"/>
      <c r="C577" s="11" t="str">
        <f aca="false">IF(B577="","",IFERROR(INDEX(Leads!$C:$C,MATCH(B577,Leads!$A:$A,0)),"ID not found"))</f>
        <v/>
      </c>
      <c r="D577" s="11" t="str">
        <f aca="false">IF(B577="","",IFERROR(INDEX(Leads!$B:$B,MATCH(B577,Leads!$A:$A,0)),""))</f>
        <v/>
      </c>
      <c r="E577" s="36"/>
      <c r="F577" s="36"/>
      <c r="G577" s="36"/>
      <c r="H577" s="35"/>
      <c r="I577" s="36"/>
    </row>
    <row r="578" customFormat="false" ht="15" hidden="false" customHeight="false" outlineLevel="0" collapsed="false">
      <c r="A578" s="35"/>
      <c r="B578" s="36"/>
      <c r="C578" s="11" t="str">
        <f aca="false">IF(B578="","",IFERROR(INDEX(Leads!$C:$C,MATCH(B578,Leads!$A:$A,0)),"ID not found"))</f>
        <v/>
      </c>
      <c r="D578" s="11" t="str">
        <f aca="false">IF(B578="","",IFERROR(INDEX(Leads!$B:$B,MATCH(B578,Leads!$A:$A,0)),""))</f>
        <v/>
      </c>
      <c r="E578" s="36"/>
      <c r="F578" s="36"/>
      <c r="G578" s="36"/>
      <c r="H578" s="35"/>
      <c r="I578" s="36"/>
    </row>
    <row r="579" customFormat="false" ht="15" hidden="false" customHeight="false" outlineLevel="0" collapsed="false">
      <c r="A579" s="35"/>
      <c r="B579" s="36"/>
      <c r="C579" s="11" t="str">
        <f aca="false">IF(B579="","",IFERROR(INDEX(Leads!$C:$C,MATCH(B579,Leads!$A:$A,0)),"ID not found"))</f>
        <v/>
      </c>
      <c r="D579" s="11" t="str">
        <f aca="false">IF(B579="","",IFERROR(INDEX(Leads!$B:$B,MATCH(B579,Leads!$A:$A,0)),""))</f>
        <v/>
      </c>
      <c r="E579" s="36"/>
      <c r="F579" s="36"/>
      <c r="G579" s="36"/>
      <c r="H579" s="35"/>
      <c r="I579" s="36"/>
    </row>
    <row r="580" customFormat="false" ht="15" hidden="false" customHeight="false" outlineLevel="0" collapsed="false">
      <c r="A580" s="35"/>
      <c r="B580" s="36"/>
      <c r="C580" s="11" t="str">
        <f aca="false">IF(B580="","",IFERROR(INDEX(Leads!$C:$C,MATCH(B580,Leads!$A:$A,0)),"ID not found"))</f>
        <v/>
      </c>
      <c r="D580" s="11" t="str">
        <f aca="false">IF(B580="","",IFERROR(INDEX(Leads!$B:$B,MATCH(B580,Leads!$A:$A,0)),""))</f>
        <v/>
      </c>
      <c r="E580" s="36"/>
      <c r="F580" s="36"/>
      <c r="G580" s="36"/>
      <c r="H580" s="35"/>
      <c r="I580" s="36"/>
    </row>
    <row r="581" customFormat="false" ht="15" hidden="false" customHeight="false" outlineLevel="0" collapsed="false">
      <c r="A581" s="35"/>
      <c r="B581" s="36"/>
      <c r="C581" s="11" t="str">
        <f aca="false">IF(B581="","",IFERROR(INDEX(Leads!$C:$C,MATCH(B581,Leads!$A:$A,0)),"ID not found"))</f>
        <v/>
      </c>
      <c r="D581" s="11" t="str">
        <f aca="false">IF(B581="","",IFERROR(INDEX(Leads!$B:$B,MATCH(B581,Leads!$A:$A,0)),""))</f>
        <v/>
      </c>
      <c r="E581" s="36"/>
      <c r="F581" s="36"/>
      <c r="G581" s="36"/>
      <c r="H581" s="35"/>
      <c r="I581" s="36"/>
    </row>
    <row r="582" customFormat="false" ht="15" hidden="false" customHeight="false" outlineLevel="0" collapsed="false">
      <c r="A582" s="35"/>
      <c r="B582" s="36"/>
      <c r="C582" s="11" t="str">
        <f aca="false">IF(B582="","",IFERROR(INDEX(Leads!$C:$C,MATCH(B582,Leads!$A:$A,0)),"ID not found"))</f>
        <v/>
      </c>
      <c r="D582" s="11" t="str">
        <f aca="false">IF(B582="","",IFERROR(INDEX(Leads!$B:$B,MATCH(B582,Leads!$A:$A,0)),""))</f>
        <v/>
      </c>
      <c r="E582" s="36"/>
      <c r="F582" s="36"/>
      <c r="G582" s="36"/>
      <c r="H582" s="35"/>
      <c r="I582" s="36"/>
    </row>
    <row r="583" customFormat="false" ht="15" hidden="false" customHeight="false" outlineLevel="0" collapsed="false">
      <c r="A583" s="35"/>
      <c r="B583" s="36"/>
      <c r="C583" s="11" t="str">
        <f aca="false">IF(B583="","",IFERROR(INDEX(Leads!$C:$C,MATCH(B583,Leads!$A:$A,0)),"ID not found"))</f>
        <v/>
      </c>
      <c r="D583" s="11" t="str">
        <f aca="false">IF(B583="","",IFERROR(INDEX(Leads!$B:$B,MATCH(B583,Leads!$A:$A,0)),""))</f>
        <v/>
      </c>
      <c r="E583" s="36"/>
      <c r="F583" s="36"/>
      <c r="G583" s="36"/>
      <c r="H583" s="35"/>
      <c r="I583" s="36"/>
    </row>
    <row r="584" customFormat="false" ht="15" hidden="false" customHeight="false" outlineLevel="0" collapsed="false">
      <c r="A584" s="35"/>
      <c r="B584" s="36"/>
      <c r="C584" s="11" t="str">
        <f aca="false">IF(B584="","",IFERROR(INDEX(Leads!$C:$C,MATCH(B584,Leads!$A:$A,0)),"ID not found"))</f>
        <v/>
      </c>
      <c r="D584" s="11" t="str">
        <f aca="false">IF(B584="","",IFERROR(INDEX(Leads!$B:$B,MATCH(B584,Leads!$A:$A,0)),""))</f>
        <v/>
      </c>
      <c r="E584" s="36"/>
      <c r="F584" s="36"/>
      <c r="G584" s="36"/>
      <c r="H584" s="35"/>
      <c r="I584" s="36"/>
    </row>
    <row r="585" customFormat="false" ht="15" hidden="false" customHeight="false" outlineLevel="0" collapsed="false">
      <c r="A585" s="35"/>
      <c r="B585" s="36"/>
      <c r="C585" s="11" t="str">
        <f aca="false">IF(B585="","",IFERROR(INDEX(Leads!$C:$C,MATCH(B585,Leads!$A:$A,0)),"ID not found"))</f>
        <v/>
      </c>
      <c r="D585" s="11" t="str">
        <f aca="false">IF(B585="","",IFERROR(INDEX(Leads!$B:$B,MATCH(B585,Leads!$A:$A,0)),""))</f>
        <v/>
      </c>
      <c r="E585" s="36"/>
      <c r="F585" s="36"/>
      <c r="G585" s="36"/>
      <c r="H585" s="35"/>
      <c r="I585" s="36"/>
    </row>
    <row r="586" customFormat="false" ht="15" hidden="false" customHeight="false" outlineLevel="0" collapsed="false">
      <c r="A586" s="35"/>
      <c r="B586" s="36"/>
      <c r="C586" s="11" t="str">
        <f aca="false">IF(B586="","",IFERROR(INDEX(Leads!$C:$C,MATCH(B586,Leads!$A:$A,0)),"ID not found"))</f>
        <v/>
      </c>
      <c r="D586" s="11" t="str">
        <f aca="false">IF(B586="","",IFERROR(INDEX(Leads!$B:$B,MATCH(B586,Leads!$A:$A,0)),""))</f>
        <v/>
      </c>
      <c r="E586" s="36"/>
      <c r="F586" s="36"/>
      <c r="G586" s="36"/>
      <c r="H586" s="35"/>
      <c r="I586" s="36"/>
    </row>
    <row r="587" customFormat="false" ht="15" hidden="false" customHeight="false" outlineLevel="0" collapsed="false">
      <c r="A587" s="35"/>
      <c r="B587" s="36"/>
      <c r="C587" s="11" t="str">
        <f aca="false">IF(B587="","",IFERROR(INDEX(Leads!$C:$C,MATCH(B587,Leads!$A:$A,0)),"ID not found"))</f>
        <v/>
      </c>
      <c r="D587" s="11" t="str">
        <f aca="false">IF(B587="","",IFERROR(INDEX(Leads!$B:$B,MATCH(B587,Leads!$A:$A,0)),""))</f>
        <v/>
      </c>
      <c r="E587" s="36"/>
      <c r="F587" s="36"/>
      <c r="G587" s="36"/>
      <c r="H587" s="35"/>
      <c r="I587" s="36"/>
    </row>
    <row r="588" customFormat="false" ht="15" hidden="false" customHeight="false" outlineLevel="0" collapsed="false">
      <c r="A588" s="35"/>
      <c r="B588" s="36"/>
      <c r="C588" s="11" t="str">
        <f aca="false">IF(B588="","",IFERROR(INDEX(Leads!$C:$C,MATCH(B588,Leads!$A:$A,0)),"ID not found"))</f>
        <v/>
      </c>
      <c r="D588" s="11" t="str">
        <f aca="false">IF(B588="","",IFERROR(INDEX(Leads!$B:$B,MATCH(B588,Leads!$A:$A,0)),""))</f>
        <v/>
      </c>
      <c r="E588" s="36"/>
      <c r="F588" s="36"/>
      <c r="G588" s="36"/>
      <c r="H588" s="35"/>
      <c r="I588" s="36"/>
    </row>
    <row r="589" customFormat="false" ht="15" hidden="false" customHeight="false" outlineLevel="0" collapsed="false">
      <c r="A589" s="35"/>
      <c r="B589" s="36"/>
      <c r="C589" s="11" t="str">
        <f aca="false">IF(B589="","",IFERROR(INDEX(Leads!$C:$C,MATCH(B589,Leads!$A:$A,0)),"ID not found"))</f>
        <v/>
      </c>
      <c r="D589" s="11" t="str">
        <f aca="false">IF(B589="","",IFERROR(INDEX(Leads!$B:$B,MATCH(B589,Leads!$A:$A,0)),""))</f>
        <v/>
      </c>
      <c r="E589" s="36"/>
      <c r="F589" s="36"/>
      <c r="G589" s="36"/>
      <c r="H589" s="35"/>
      <c r="I589" s="36"/>
    </row>
    <row r="590" customFormat="false" ht="15" hidden="false" customHeight="false" outlineLevel="0" collapsed="false">
      <c r="A590" s="35"/>
      <c r="B590" s="36"/>
      <c r="C590" s="11" t="str">
        <f aca="false">IF(B590="","",IFERROR(INDEX(Leads!$C:$C,MATCH(B590,Leads!$A:$A,0)),"ID not found"))</f>
        <v/>
      </c>
      <c r="D590" s="11" t="str">
        <f aca="false">IF(B590="","",IFERROR(INDEX(Leads!$B:$B,MATCH(B590,Leads!$A:$A,0)),""))</f>
        <v/>
      </c>
      <c r="E590" s="36"/>
      <c r="F590" s="36"/>
      <c r="G590" s="36"/>
      <c r="H590" s="35"/>
      <c r="I590" s="36"/>
    </row>
    <row r="591" customFormat="false" ht="15" hidden="false" customHeight="false" outlineLevel="0" collapsed="false">
      <c r="A591" s="35"/>
      <c r="B591" s="36"/>
      <c r="C591" s="11" t="str">
        <f aca="false">IF(B591="","",IFERROR(INDEX(Leads!$C:$C,MATCH(B591,Leads!$A:$A,0)),"ID not found"))</f>
        <v/>
      </c>
      <c r="D591" s="11" t="str">
        <f aca="false">IF(B591="","",IFERROR(INDEX(Leads!$B:$B,MATCH(B591,Leads!$A:$A,0)),""))</f>
        <v/>
      </c>
      <c r="E591" s="36"/>
      <c r="F591" s="36"/>
      <c r="G591" s="36"/>
      <c r="H591" s="35"/>
      <c r="I591" s="36"/>
    </row>
    <row r="592" customFormat="false" ht="15" hidden="false" customHeight="false" outlineLevel="0" collapsed="false">
      <c r="A592" s="35"/>
      <c r="B592" s="36"/>
      <c r="C592" s="11" t="str">
        <f aca="false">IF(B592="","",IFERROR(INDEX(Leads!$C:$C,MATCH(B592,Leads!$A:$A,0)),"ID not found"))</f>
        <v/>
      </c>
      <c r="D592" s="11" t="str">
        <f aca="false">IF(B592="","",IFERROR(INDEX(Leads!$B:$B,MATCH(B592,Leads!$A:$A,0)),""))</f>
        <v/>
      </c>
      <c r="E592" s="36"/>
      <c r="F592" s="36"/>
      <c r="G592" s="36"/>
      <c r="H592" s="35"/>
      <c r="I592" s="36"/>
    </row>
    <row r="593" customFormat="false" ht="15" hidden="false" customHeight="false" outlineLevel="0" collapsed="false">
      <c r="A593" s="35"/>
      <c r="B593" s="36"/>
      <c r="C593" s="11" t="str">
        <f aca="false">IF(B593="","",IFERROR(INDEX(Leads!$C:$C,MATCH(B593,Leads!$A:$A,0)),"ID not found"))</f>
        <v/>
      </c>
      <c r="D593" s="11" t="str">
        <f aca="false">IF(B593="","",IFERROR(INDEX(Leads!$B:$B,MATCH(B593,Leads!$A:$A,0)),""))</f>
        <v/>
      </c>
      <c r="E593" s="36"/>
      <c r="F593" s="36"/>
      <c r="G593" s="36"/>
      <c r="H593" s="35"/>
      <c r="I593" s="36"/>
    </row>
    <row r="594" customFormat="false" ht="15" hidden="false" customHeight="false" outlineLevel="0" collapsed="false">
      <c r="A594" s="35"/>
      <c r="B594" s="36"/>
      <c r="C594" s="11" t="str">
        <f aca="false">IF(B594="","",IFERROR(INDEX(Leads!$C:$C,MATCH(B594,Leads!$A:$A,0)),"ID not found"))</f>
        <v/>
      </c>
      <c r="D594" s="11" t="str">
        <f aca="false">IF(B594="","",IFERROR(INDEX(Leads!$B:$B,MATCH(B594,Leads!$A:$A,0)),""))</f>
        <v/>
      </c>
      <c r="E594" s="36"/>
      <c r="F594" s="36"/>
      <c r="G594" s="36"/>
      <c r="H594" s="35"/>
      <c r="I594" s="36"/>
    </row>
    <row r="595" customFormat="false" ht="15" hidden="false" customHeight="false" outlineLevel="0" collapsed="false">
      <c r="A595" s="35"/>
      <c r="B595" s="36"/>
      <c r="C595" s="11" t="str">
        <f aca="false">IF(B595="","",IFERROR(INDEX(Leads!$C:$C,MATCH(B595,Leads!$A:$A,0)),"ID not found"))</f>
        <v/>
      </c>
      <c r="D595" s="11" t="str">
        <f aca="false">IF(B595="","",IFERROR(INDEX(Leads!$B:$B,MATCH(B595,Leads!$A:$A,0)),""))</f>
        <v/>
      </c>
      <c r="E595" s="36"/>
      <c r="F595" s="36"/>
      <c r="G595" s="36"/>
      <c r="H595" s="35"/>
      <c r="I595" s="36"/>
    </row>
    <row r="596" customFormat="false" ht="15" hidden="false" customHeight="false" outlineLevel="0" collapsed="false">
      <c r="A596" s="35"/>
      <c r="B596" s="36"/>
      <c r="C596" s="11" t="str">
        <f aca="false">IF(B596="","",IFERROR(INDEX(Leads!$C:$C,MATCH(B596,Leads!$A:$A,0)),"ID not found"))</f>
        <v/>
      </c>
      <c r="D596" s="11" t="str">
        <f aca="false">IF(B596="","",IFERROR(INDEX(Leads!$B:$B,MATCH(B596,Leads!$A:$A,0)),""))</f>
        <v/>
      </c>
      <c r="E596" s="36"/>
      <c r="F596" s="36"/>
      <c r="G596" s="36"/>
      <c r="H596" s="35"/>
      <c r="I596" s="36"/>
    </row>
    <row r="597" customFormat="false" ht="15" hidden="false" customHeight="false" outlineLevel="0" collapsed="false">
      <c r="A597" s="35"/>
      <c r="B597" s="36"/>
      <c r="C597" s="11" t="str">
        <f aca="false">IF(B597="","",IFERROR(INDEX(Leads!$C:$C,MATCH(B597,Leads!$A:$A,0)),"ID not found"))</f>
        <v/>
      </c>
      <c r="D597" s="11" t="str">
        <f aca="false">IF(B597="","",IFERROR(INDEX(Leads!$B:$B,MATCH(B597,Leads!$A:$A,0)),""))</f>
        <v/>
      </c>
      <c r="E597" s="36"/>
      <c r="F597" s="36"/>
      <c r="G597" s="36"/>
      <c r="H597" s="35"/>
      <c r="I597" s="36"/>
    </row>
    <row r="598" customFormat="false" ht="15" hidden="false" customHeight="false" outlineLevel="0" collapsed="false">
      <c r="A598" s="35"/>
      <c r="B598" s="36"/>
      <c r="C598" s="11" t="str">
        <f aca="false">IF(B598="","",IFERROR(INDEX(Leads!$C:$C,MATCH(B598,Leads!$A:$A,0)),"ID not found"))</f>
        <v/>
      </c>
      <c r="D598" s="11" t="str">
        <f aca="false">IF(B598="","",IFERROR(INDEX(Leads!$B:$B,MATCH(B598,Leads!$A:$A,0)),""))</f>
        <v/>
      </c>
      <c r="E598" s="36"/>
      <c r="F598" s="36"/>
      <c r="G598" s="36"/>
      <c r="H598" s="35"/>
      <c r="I598" s="36"/>
    </row>
    <row r="599" customFormat="false" ht="15" hidden="false" customHeight="false" outlineLevel="0" collapsed="false">
      <c r="A599" s="35"/>
      <c r="B599" s="36"/>
      <c r="C599" s="11" t="str">
        <f aca="false">IF(B599="","",IFERROR(INDEX(Leads!$C:$C,MATCH(B599,Leads!$A:$A,0)),"ID not found"))</f>
        <v/>
      </c>
      <c r="D599" s="11" t="str">
        <f aca="false">IF(B599="","",IFERROR(INDEX(Leads!$B:$B,MATCH(B599,Leads!$A:$A,0)),""))</f>
        <v/>
      </c>
      <c r="E599" s="36"/>
      <c r="F599" s="36"/>
      <c r="G599" s="36"/>
      <c r="H599" s="35"/>
      <c r="I599" s="36"/>
    </row>
    <row r="600" customFormat="false" ht="15" hidden="false" customHeight="false" outlineLevel="0" collapsed="false">
      <c r="A600" s="35"/>
      <c r="B600" s="36"/>
      <c r="C600" s="11" t="str">
        <f aca="false">IF(B600="","",IFERROR(INDEX(Leads!$C:$C,MATCH(B600,Leads!$A:$A,0)),"ID not found"))</f>
        <v/>
      </c>
      <c r="D600" s="11" t="str">
        <f aca="false">IF(B600="","",IFERROR(INDEX(Leads!$B:$B,MATCH(B600,Leads!$A:$A,0)),""))</f>
        <v/>
      </c>
      <c r="E600" s="36"/>
      <c r="F600" s="36"/>
      <c r="G600" s="36"/>
      <c r="H600" s="35"/>
      <c r="I600" s="36"/>
    </row>
    <row r="601" customFormat="false" ht="15" hidden="false" customHeight="false" outlineLevel="0" collapsed="false">
      <c r="A601" s="35"/>
      <c r="B601" s="36"/>
      <c r="C601" s="11" t="str">
        <f aca="false">IF(B601="","",IFERROR(INDEX(Leads!$C:$C,MATCH(B601,Leads!$A:$A,0)),"ID not found"))</f>
        <v/>
      </c>
      <c r="D601" s="11" t="str">
        <f aca="false">IF(B601="","",IFERROR(INDEX(Leads!$B:$B,MATCH(B601,Leads!$A:$A,0)),""))</f>
        <v/>
      </c>
      <c r="E601" s="36"/>
      <c r="F601" s="36"/>
      <c r="G601" s="36"/>
      <c r="H601" s="35"/>
      <c r="I601" s="36"/>
    </row>
    <row r="602" customFormat="false" ht="15" hidden="false" customHeight="false" outlineLevel="0" collapsed="false">
      <c r="A602" s="35"/>
      <c r="B602" s="36"/>
      <c r="C602" s="11" t="str">
        <f aca="false">IF(B602="","",IFERROR(INDEX(Leads!$C:$C,MATCH(B602,Leads!$A:$A,0)),"ID not found"))</f>
        <v/>
      </c>
      <c r="D602" s="11" t="str">
        <f aca="false">IF(B602="","",IFERROR(INDEX(Leads!$B:$B,MATCH(B602,Leads!$A:$A,0)),""))</f>
        <v/>
      </c>
      <c r="E602" s="36"/>
      <c r="F602" s="36"/>
      <c r="G602" s="36"/>
      <c r="H602" s="35"/>
      <c r="I602" s="36"/>
    </row>
    <row r="603" customFormat="false" ht="15" hidden="false" customHeight="false" outlineLevel="0" collapsed="false">
      <c r="A603" s="35"/>
      <c r="B603" s="36"/>
      <c r="C603" s="11" t="str">
        <f aca="false">IF(B603="","",IFERROR(INDEX(Leads!$C:$C,MATCH(B603,Leads!$A:$A,0)),"ID not found"))</f>
        <v/>
      </c>
      <c r="D603" s="11" t="str">
        <f aca="false">IF(B603="","",IFERROR(INDEX(Leads!$B:$B,MATCH(B603,Leads!$A:$A,0)),""))</f>
        <v/>
      </c>
      <c r="E603" s="36"/>
      <c r="F603" s="36"/>
      <c r="G603" s="36"/>
      <c r="H603" s="35"/>
      <c r="I603" s="36"/>
    </row>
    <row r="604" customFormat="false" ht="15" hidden="false" customHeight="false" outlineLevel="0" collapsed="false">
      <c r="A604" s="35"/>
      <c r="B604" s="36"/>
      <c r="C604" s="11" t="str">
        <f aca="false">IF(B604="","",IFERROR(INDEX(Leads!$C:$C,MATCH(B604,Leads!$A:$A,0)),"ID not found"))</f>
        <v/>
      </c>
      <c r="D604" s="11" t="str">
        <f aca="false">IF(B604="","",IFERROR(INDEX(Leads!$B:$B,MATCH(B604,Leads!$A:$A,0)),""))</f>
        <v/>
      </c>
      <c r="E604" s="36"/>
      <c r="F604" s="36"/>
      <c r="G604" s="36"/>
      <c r="H604" s="35"/>
      <c r="I604" s="36"/>
    </row>
    <row r="605" customFormat="false" ht="15" hidden="false" customHeight="false" outlineLevel="0" collapsed="false">
      <c r="A605" s="35"/>
      <c r="B605" s="36"/>
      <c r="C605" s="11" t="str">
        <f aca="false">IF(B605="","",IFERROR(INDEX(Leads!$C:$C,MATCH(B605,Leads!$A:$A,0)),"ID not found"))</f>
        <v/>
      </c>
      <c r="D605" s="11" t="str">
        <f aca="false">IF(B605="","",IFERROR(INDEX(Leads!$B:$B,MATCH(B605,Leads!$A:$A,0)),""))</f>
        <v/>
      </c>
      <c r="E605" s="36"/>
      <c r="F605" s="36"/>
      <c r="G605" s="36"/>
      <c r="H605" s="35"/>
      <c r="I605" s="36"/>
    </row>
    <row r="606" customFormat="false" ht="15" hidden="false" customHeight="false" outlineLevel="0" collapsed="false">
      <c r="A606" s="35"/>
      <c r="B606" s="36"/>
      <c r="C606" s="11" t="str">
        <f aca="false">IF(B606="","",IFERROR(INDEX(Leads!$C:$C,MATCH(B606,Leads!$A:$A,0)),"ID not found"))</f>
        <v/>
      </c>
      <c r="D606" s="11" t="str">
        <f aca="false">IF(B606="","",IFERROR(INDEX(Leads!$B:$B,MATCH(B606,Leads!$A:$A,0)),""))</f>
        <v/>
      </c>
      <c r="E606" s="36"/>
      <c r="F606" s="36"/>
      <c r="G606" s="36"/>
      <c r="H606" s="35"/>
      <c r="I606" s="36"/>
    </row>
    <row r="607" customFormat="false" ht="15" hidden="false" customHeight="false" outlineLevel="0" collapsed="false">
      <c r="A607" s="35"/>
      <c r="B607" s="36"/>
      <c r="C607" s="11" t="str">
        <f aca="false">IF(B607="","",IFERROR(INDEX(Leads!$C:$C,MATCH(B607,Leads!$A:$A,0)),"ID not found"))</f>
        <v/>
      </c>
      <c r="D607" s="11" t="str">
        <f aca="false">IF(B607="","",IFERROR(INDEX(Leads!$B:$B,MATCH(B607,Leads!$A:$A,0)),""))</f>
        <v/>
      </c>
      <c r="E607" s="36"/>
      <c r="F607" s="36"/>
      <c r="G607" s="36"/>
      <c r="H607" s="35"/>
      <c r="I607" s="36"/>
    </row>
    <row r="608" customFormat="false" ht="15" hidden="false" customHeight="false" outlineLevel="0" collapsed="false">
      <c r="A608" s="35"/>
      <c r="B608" s="36"/>
      <c r="C608" s="11" t="str">
        <f aca="false">IF(B608="","",IFERROR(INDEX(Leads!$C:$C,MATCH(B608,Leads!$A:$A,0)),"ID not found"))</f>
        <v/>
      </c>
      <c r="D608" s="11" t="str">
        <f aca="false">IF(B608="","",IFERROR(INDEX(Leads!$B:$B,MATCH(B608,Leads!$A:$A,0)),""))</f>
        <v/>
      </c>
      <c r="E608" s="36"/>
      <c r="F608" s="36"/>
      <c r="G608" s="36"/>
      <c r="H608" s="35"/>
      <c r="I608" s="36"/>
    </row>
    <row r="609" customFormat="false" ht="15" hidden="false" customHeight="false" outlineLevel="0" collapsed="false">
      <c r="A609" s="35"/>
      <c r="B609" s="36"/>
      <c r="C609" s="11" t="str">
        <f aca="false">IF(B609="","",IFERROR(INDEX(Leads!$C:$C,MATCH(B609,Leads!$A:$A,0)),"ID not found"))</f>
        <v/>
      </c>
      <c r="D609" s="11" t="str">
        <f aca="false">IF(B609="","",IFERROR(INDEX(Leads!$B:$B,MATCH(B609,Leads!$A:$A,0)),""))</f>
        <v/>
      </c>
      <c r="E609" s="36"/>
      <c r="F609" s="36"/>
      <c r="G609" s="36"/>
      <c r="H609" s="35"/>
      <c r="I609" s="36"/>
    </row>
    <row r="610" customFormat="false" ht="15" hidden="false" customHeight="false" outlineLevel="0" collapsed="false">
      <c r="A610" s="35"/>
      <c r="B610" s="36"/>
      <c r="C610" s="11" t="str">
        <f aca="false">IF(B610="","",IFERROR(INDEX(Leads!$C:$C,MATCH(B610,Leads!$A:$A,0)),"ID not found"))</f>
        <v/>
      </c>
      <c r="D610" s="11" t="str">
        <f aca="false">IF(B610="","",IFERROR(INDEX(Leads!$B:$B,MATCH(B610,Leads!$A:$A,0)),""))</f>
        <v/>
      </c>
      <c r="E610" s="36"/>
      <c r="F610" s="36"/>
      <c r="G610" s="36"/>
      <c r="H610" s="35"/>
      <c r="I610" s="36"/>
    </row>
    <row r="611" customFormat="false" ht="15" hidden="false" customHeight="false" outlineLevel="0" collapsed="false">
      <c r="A611" s="35"/>
      <c r="B611" s="36"/>
      <c r="C611" s="11" t="str">
        <f aca="false">IF(B611="","",IFERROR(INDEX(Leads!$C:$C,MATCH(B611,Leads!$A:$A,0)),"ID not found"))</f>
        <v/>
      </c>
      <c r="D611" s="11" t="str">
        <f aca="false">IF(B611="","",IFERROR(INDEX(Leads!$B:$B,MATCH(B611,Leads!$A:$A,0)),""))</f>
        <v/>
      </c>
      <c r="E611" s="36"/>
      <c r="F611" s="36"/>
      <c r="G611" s="36"/>
      <c r="H611" s="35"/>
      <c r="I611" s="36"/>
    </row>
    <row r="612" customFormat="false" ht="15" hidden="false" customHeight="false" outlineLevel="0" collapsed="false">
      <c r="A612" s="35"/>
      <c r="B612" s="36"/>
      <c r="C612" s="11" t="str">
        <f aca="false">IF(B612="","",IFERROR(INDEX(Leads!$C:$C,MATCH(B612,Leads!$A:$A,0)),"ID not found"))</f>
        <v/>
      </c>
      <c r="D612" s="11" t="str">
        <f aca="false">IF(B612="","",IFERROR(INDEX(Leads!$B:$B,MATCH(B612,Leads!$A:$A,0)),""))</f>
        <v/>
      </c>
      <c r="E612" s="36"/>
      <c r="F612" s="36"/>
      <c r="G612" s="36"/>
      <c r="H612" s="35"/>
      <c r="I612" s="36"/>
    </row>
    <row r="613" customFormat="false" ht="15" hidden="false" customHeight="false" outlineLevel="0" collapsed="false">
      <c r="A613" s="35"/>
      <c r="B613" s="36"/>
      <c r="C613" s="11" t="str">
        <f aca="false">IF(B613="","",IFERROR(INDEX(Leads!$C:$C,MATCH(B613,Leads!$A:$A,0)),"ID not found"))</f>
        <v/>
      </c>
      <c r="D613" s="11" t="str">
        <f aca="false">IF(B613="","",IFERROR(INDEX(Leads!$B:$B,MATCH(B613,Leads!$A:$A,0)),""))</f>
        <v/>
      </c>
      <c r="E613" s="36"/>
      <c r="F613" s="36"/>
      <c r="G613" s="36"/>
      <c r="H613" s="35"/>
      <c r="I613" s="36"/>
    </row>
    <row r="614" customFormat="false" ht="15" hidden="false" customHeight="false" outlineLevel="0" collapsed="false">
      <c r="A614" s="35"/>
      <c r="B614" s="36"/>
      <c r="C614" s="11" t="str">
        <f aca="false">IF(B614="","",IFERROR(INDEX(Leads!$C:$C,MATCH(B614,Leads!$A:$A,0)),"ID not found"))</f>
        <v/>
      </c>
      <c r="D614" s="11" t="str">
        <f aca="false">IF(B614="","",IFERROR(INDEX(Leads!$B:$B,MATCH(B614,Leads!$A:$A,0)),""))</f>
        <v/>
      </c>
      <c r="E614" s="36"/>
      <c r="F614" s="36"/>
      <c r="G614" s="36"/>
      <c r="H614" s="35"/>
      <c r="I614" s="36"/>
    </row>
    <row r="615" customFormat="false" ht="15" hidden="false" customHeight="false" outlineLevel="0" collapsed="false">
      <c r="A615" s="35"/>
      <c r="B615" s="36"/>
      <c r="C615" s="11" t="str">
        <f aca="false">IF(B615="","",IFERROR(INDEX(Leads!$C:$C,MATCH(B615,Leads!$A:$A,0)),"ID not found"))</f>
        <v/>
      </c>
      <c r="D615" s="11" t="str">
        <f aca="false">IF(B615="","",IFERROR(INDEX(Leads!$B:$B,MATCH(B615,Leads!$A:$A,0)),""))</f>
        <v/>
      </c>
      <c r="E615" s="36"/>
      <c r="F615" s="36"/>
      <c r="G615" s="36"/>
      <c r="H615" s="35"/>
      <c r="I615" s="36"/>
    </row>
    <row r="616" customFormat="false" ht="15" hidden="false" customHeight="false" outlineLevel="0" collapsed="false">
      <c r="A616" s="35"/>
      <c r="B616" s="36"/>
      <c r="C616" s="11" t="str">
        <f aca="false">IF(B616="","",IFERROR(INDEX(Leads!$C:$C,MATCH(B616,Leads!$A:$A,0)),"ID not found"))</f>
        <v/>
      </c>
      <c r="D616" s="11" t="str">
        <f aca="false">IF(B616="","",IFERROR(INDEX(Leads!$B:$B,MATCH(B616,Leads!$A:$A,0)),""))</f>
        <v/>
      </c>
      <c r="E616" s="36"/>
      <c r="F616" s="36"/>
      <c r="G616" s="36"/>
      <c r="H616" s="35"/>
      <c r="I616" s="36"/>
    </row>
    <row r="617" customFormat="false" ht="15" hidden="false" customHeight="false" outlineLevel="0" collapsed="false">
      <c r="A617" s="35"/>
      <c r="B617" s="36"/>
      <c r="C617" s="11" t="str">
        <f aca="false">IF(B617="","",IFERROR(INDEX(Leads!$C:$C,MATCH(B617,Leads!$A:$A,0)),"ID not found"))</f>
        <v/>
      </c>
      <c r="D617" s="11" t="str">
        <f aca="false">IF(B617="","",IFERROR(INDEX(Leads!$B:$B,MATCH(B617,Leads!$A:$A,0)),""))</f>
        <v/>
      </c>
      <c r="E617" s="36"/>
      <c r="F617" s="36"/>
      <c r="G617" s="36"/>
      <c r="H617" s="35"/>
      <c r="I617" s="36"/>
    </row>
    <row r="618" customFormat="false" ht="15" hidden="false" customHeight="false" outlineLevel="0" collapsed="false">
      <c r="A618" s="35"/>
      <c r="B618" s="36"/>
      <c r="C618" s="11" t="str">
        <f aca="false">IF(B618="","",IFERROR(INDEX(Leads!$C:$C,MATCH(B618,Leads!$A:$A,0)),"ID not found"))</f>
        <v/>
      </c>
      <c r="D618" s="11" t="str">
        <f aca="false">IF(B618="","",IFERROR(INDEX(Leads!$B:$B,MATCH(B618,Leads!$A:$A,0)),""))</f>
        <v/>
      </c>
      <c r="E618" s="36"/>
      <c r="F618" s="36"/>
      <c r="G618" s="36"/>
      <c r="H618" s="35"/>
      <c r="I618" s="36"/>
    </row>
    <row r="619" customFormat="false" ht="15" hidden="false" customHeight="false" outlineLevel="0" collapsed="false">
      <c r="A619" s="35"/>
      <c r="B619" s="36"/>
      <c r="C619" s="11" t="str">
        <f aca="false">IF(B619="","",IFERROR(INDEX(Leads!$C:$C,MATCH(B619,Leads!$A:$A,0)),"ID not found"))</f>
        <v/>
      </c>
      <c r="D619" s="11" t="str">
        <f aca="false">IF(B619="","",IFERROR(INDEX(Leads!$B:$B,MATCH(B619,Leads!$A:$A,0)),""))</f>
        <v/>
      </c>
      <c r="E619" s="36"/>
      <c r="F619" s="36"/>
      <c r="G619" s="36"/>
      <c r="H619" s="35"/>
      <c r="I619" s="36"/>
    </row>
    <row r="620" customFormat="false" ht="15" hidden="false" customHeight="false" outlineLevel="0" collapsed="false">
      <c r="A620" s="35"/>
      <c r="B620" s="36"/>
      <c r="C620" s="11" t="str">
        <f aca="false">IF(B620="","",IFERROR(INDEX(Leads!$C:$C,MATCH(B620,Leads!$A:$A,0)),"ID not found"))</f>
        <v/>
      </c>
      <c r="D620" s="11" t="str">
        <f aca="false">IF(B620="","",IFERROR(INDEX(Leads!$B:$B,MATCH(B620,Leads!$A:$A,0)),""))</f>
        <v/>
      </c>
      <c r="E620" s="36"/>
      <c r="F620" s="36"/>
      <c r="G620" s="36"/>
      <c r="H620" s="35"/>
      <c r="I620" s="36"/>
    </row>
    <row r="621" customFormat="false" ht="15" hidden="false" customHeight="false" outlineLevel="0" collapsed="false">
      <c r="A621" s="35"/>
      <c r="B621" s="36"/>
      <c r="C621" s="11" t="str">
        <f aca="false">IF(B621="","",IFERROR(INDEX(Leads!$C:$C,MATCH(B621,Leads!$A:$A,0)),"ID not found"))</f>
        <v/>
      </c>
      <c r="D621" s="11" t="str">
        <f aca="false">IF(B621="","",IFERROR(INDEX(Leads!$B:$B,MATCH(B621,Leads!$A:$A,0)),""))</f>
        <v/>
      </c>
      <c r="E621" s="36"/>
      <c r="F621" s="36"/>
      <c r="G621" s="36"/>
      <c r="H621" s="35"/>
      <c r="I621" s="36"/>
    </row>
    <row r="622" customFormat="false" ht="15" hidden="false" customHeight="false" outlineLevel="0" collapsed="false">
      <c r="A622" s="35"/>
      <c r="B622" s="36"/>
      <c r="C622" s="11" t="str">
        <f aca="false">IF(B622="","",IFERROR(INDEX(Leads!$C:$C,MATCH(B622,Leads!$A:$A,0)),"ID not found"))</f>
        <v/>
      </c>
      <c r="D622" s="11" t="str">
        <f aca="false">IF(B622="","",IFERROR(INDEX(Leads!$B:$B,MATCH(B622,Leads!$A:$A,0)),""))</f>
        <v/>
      </c>
      <c r="E622" s="36"/>
      <c r="F622" s="36"/>
      <c r="G622" s="36"/>
      <c r="H622" s="35"/>
      <c r="I622" s="36"/>
    </row>
    <row r="623" customFormat="false" ht="15" hidden="false" customHeight="false" outlineLevel="0" collapsed="false">
      <c r="A623" s="35"/>
      <c r="B623" s="36"/>
      <c r="C623" s="11" t="str">
        <f aca="false">IF(B623="","",IFERROR(INDEX(Leads!$C:$C,MATCH(B623,Leads!$A:$A,0)),"ID not found"))</f>
        <v/>
      </c>
      <c r="D623" s="11" t="str">
        <f aca="false">IF(B623="","",IFERROR(INDEX(Leads!$B:$B,MATCH(B623,Leads!$A:$A,0)),""))</f>
        <v/>
      </c>
      <c r="E623" s="36"/>
      <c r="F623" s="36"/>
      <c r="G623" s="36"/>
      <c r="H623" s="35"/>
      <c r="I623" s="36"/>
    </row>
    <row r="624" customFormat="false" ht="15" hidden="false" customHeight="false" outlineLevel="0" collapsed="false">
      <c r="A624" s="35"/>
      <c r="B624" s="36"/>
      <c r="C624" s="11" t="str">
        <f aca="false">IF(B624="","",IFERROR(INDEX(Leads!$C:$C,MATCH(B624,Leads!$A:$A,0)),"ID not found"))</f>
        <v/>
      </c>
      <c r="D624" s="11" t="str">
        <f aca="false">IF(B624="","",IFERROR(INDEX(Leads!$B:$B,MATCH(B624,Leads!$A:$A,0)),""))</f>
        <v/>
      </c>
      <c r="E624" s="36"/>
      <c r="F624" s="36"/>
      <c r="G624" s="36"/>
      <c r="H624" s="35"/>
      <c r="I624" s="36"/>
    </row>
    <row r="625" customFormat="false" ht="15" hidden="false" customHeight="false" outlineLevel="0" collapsed="false">
      <c r="A625" s="35"/>
      <c r="B625" s="36"/>
      <c r="C625" s="11" t="str">
        <f aca="false">IF(B625="","",IFERROR(INDEX(Leads!$C:$C,MATCH(B625,Leads!$A:$A,0)),"ID not found"))</f>
        <v/>
      </c>
      <c r="D625" s="11" t="str">
        <f aca="false">IF(B625="","",IFERROR(INDEX(Leads!$B:$B,MATCH(B625,Leads!$A:$A,0)),""))</f>
        <v/>
      </c>
      <c r="E625" s="36"/>
      <c r="F625" s="36"/>
      <c r="G625" s="36"/>
      <c r="H625" s="35"/>
      <c r="I625" s="36"/>
    </row>
    <row r="626" customFormat="false" ht="15" hidden="false" customHeight="false" outlineLevel="0" collapsed="false">
      <c r="A626" s="35"/>
      <c r="B626" s="36"/>
      <c r="C626" s="11" t="str">
        <f aca="false">IF(B626="","",IFERROR(INDEX(Leads!$C:$C,MATCH(B626,Leads!$A:$A,0)),"ID not found"))</f>
        <v/>
      </c>
      <c r="D626" s="11" t="str">
        <f aca="false">IF(B626="","",IFERROR(INDEX(Leads!$B:$B,MATCH(B626,Leads!$A:$A,0)),""))</f>
        <v/>
      </c>
      <c r="E626" s="36"/>
      <c r="F626" s="36"/>
      <c r="G626" s="36"/>
      <c r="H626" s="35"/>
      <c r="I626" s="36"/>
    </row>
    <row r="627" customFormat="false" ht="15" hidden="false" customHeight="false" outlineLevel="0" collapsed="false">
      <c r="A627" s="35"/>
      <c r="B627" s="36"/>
      <c r="C627" s="11" t="str">
        <f aca="false">IF(B627="","",IFERROR(INDEX(Leads!$C:$C,MATCH(B627,Leads!$A:$A,0)),"ID not found"))</f>
        <v/>
      </c>
      <c r="D627" s="11" t="str">
        <f aca="false">IF(B627="","",IFERROR(INDEX(Leads!$B:$B,MATCH(B627,Leads!$A:$A,0)),""))</f>
        <v/>
      </c>
      <c r="E627" s="36"/>
      <c r="F627" s="36"/>
      <c r="G627" s="36"/>
      <c r="H627" s="35"/>
      <c r="I627" s="36"/>
    </row>
    <row r="628" customFormat="false" ht="15" hidden="false" customHeight="false" outlineLevel="0" collapsed="false">
      <c r="A628" s="35"/>
      <c r="B628" s="36"/>
      <c r="C628" s="11" t="str">
        <f aca="false">IF(B628="","",IFERROR(INDEX(Leads!$C:$C,MATCH(B628,Leads!$A:$A,0)),"ID not found"))</f>
        <v/>
      </c>
      <c r="D628" s="11" t="str">
        <f aca="false">IF(B628="","",IFERROR(INDEX(Leads!$B:$B,MATCH(B628,Leads!$A:$A,0)),""))</f>
        <v/>
      </c>
      <c r="E628" s="36"/>
      <c r="F628" s="36"/>
      <c r="G628" s="36"/>
      <c r="H628" s="35"/>
      <c r="I628" s="36"/>
    </row>
    <row r="629" customFormat="false" ht="15" hidden="false" customHeight="false" outlineLevel="0" collapsed="false">
      <c r="A629" s="35"/>
      <c r="B629" s="36"/>
      <c r="C629" s="11" t="str">
        <f aca="false">IF(B629="","",IFERROR(INDEX(Leads!$C:$C,MATCH(B629,Leads!$A:$A,0)),"ID not found"))</f>
        <v/>
      </c>
      <c r="D629" s="11" t="str">
        <f aca="false">IF(B629="","",IFERROR(INDEX(Leads!$B:$B,MATCH(B629,Leads!$A:$A,0)),""))</f>
        <v/>
      </c>
      <c r="E629" s="36"/>
      <c r="F629" s="36"/>
      <c r="G629" s="36"/>
      <c r="H629" s="35"/>
      <c r="I629" s="36"/>
    </row>
    <row r="630" customFormat="false" ht="15" hidden="false" customHeight="false" outlineLevel="0" collapsed="false">
      <c r="A630" s="35"/>
      <c r="B630" s="36"/>
      <c r="C630" s="11" t="str">
        <f aca="false">IF(B630="","",IFERROR(INDEX(Leads!$C:$C,MATCH(B630,Leads!$A:$A,0)),"ID not found"))</f>
        <v/>
      </c>
      <c r="D630" s="11" t="str">
        <f aca="false">IF(B630="","",IFERROR(INDEX(Leads!$B:$B,MATCH(B630,Leads!$A:$A,0)),""))</f>
        <v/>
      </c>
      <c r="E630" s="36"/>
      <c r="F630" s="36"/>
      <c r="G630" s="36"/>
      <c r="H630" s="35"/>
      <c r="I630" s="36"/>
    </row>
    <row r="631" customFormat="false" ht="15" hidden="false" customHeight="false" outlineLevel="0" collapsed="false">
      <c r="A631" s="35"/>
      <c r="B631" s="36"/>
      <c r="C631" s="11" t="str">
        <f aca="false">IF(B631="","",IFERROR(INDEX(Leads!$C:$C,MATCH(B631,Leads!$A:$A,0)),"ID not found"))</f>
        <v/>
      </c>
      <c r="D631" s="11" t="str">
        <f aca="false">IF(B631="","",IFERROR(INDEX(Leads!$B:$B,MATCH(B631,Leads!$A:$A,0)),""))</f>
        <v/>
      </c>
      <c r="E631" s="36"/>
      <c r="F631" s="36"/>
      <c r="G631" s="36"/>
      <c r="H631" s="35"/>
      <c r="I631" s="36"/>
    </row>
    <row r="632" customFormat="false" ht="15" hidden="false" customHeight="false" outlineLevel="0" collapsed="false">
      <c r="A632" s="35"/>
      <c r="B632" s="36"/>
      <c r="C632" s="11" t="str">
        <f aca="false">IF(B632="","",IFERROR(INDEX(Leads!$C:$C,MATCH(B632,Leads!$A:$A,0)),"ID not found"))</f>
        <v/>
      </c>
      <c r="D632" s="11" t="str">
        <f aca="false">IF(B632="","",IFERROR(INDEX(Leads!$B:$B,MATCH(B632,Leads!$A:$A,0)),""))</f>
        <v/>
      </c>
      <c r="E632" s="36"/>
      <c r="F632" s="36"/>
      <c r="G632" s="36"/>
      <c r="H632" s="35"/>
      <c r="I632" s="36"/>
    </row>
    <row r="633" customFormat="false" ht="15" hidden="false" customHeight="false" outlineLevel="0" collapsed="false">
      <c r="A633" s="35"/>
      <c r="B633" s="36"/>
      <c r="C633" s="11" t="str">
        <f aca="false">IF(B633="","",IFERROR(INDEX(Leads!$C:$C,MATCH(B633,Leads!$A:$A,0)),"ID not found"))</f>
        <v/>
      </c>
      <c r="D633" s="11" t="str">
        <f aca="false">IF(B633="","",IFERROR(INDEX(Leads!$B:$B,MATCH(B633,Leads!$A:$A,0)),""))</f>
        <v/>
      </c>
      <c r="E633" s="36"/>
      <c r="F633" s="36"/>
      <c r="G633" s="36"/>
      <c r="H633" s="35"/>
      <c r="I633" s="36"/>
    </row>
    <row r="634" customFormat="false" ht="15" hidden="false" customHeight="false" outlineLevel="0" collapsed="false">
      <c r="A634" s="35"/>
      <c r="B634" s="36"/>
      <c r="C634" s="11" t="str">
        <f aca="false">IF(B634="","",IFERROR(INDEX(Leads!$C:$C,MATCH(B634,Leads!$A:$A,0)),"ID not found"))</f>
        <v/>
      </c>
      <c r="D634" s="11" t="str">
        <f aca="false">IF(B634="","",IFERROR(INDEX(Leads!$B:$B,MATCH(B634,Leads!$A:$A,0)),""))</f>
        <v/>
      </c>
      <c r="E634" s="36"/>
      <c r="F634" s="36"/>
      <c r="G634" s="36"/>
      <c r="H634" s="35"/>
      <c r="I634" s="36"/>
    </row>
    <row r="635" customFormat="false" ht="15" hidden="false" customHeight="false" outlineLevel="0" collapsed="false">
      <c r="A635" s="35"/>
      <c r="B635" s="36"/>
      <c r="C635" s="11" t="str">
        <f aca="false">IF(B635="","",IFERROR(INDEX(Leads!$C:$C,MATCH(B635,Leads!$A:$A,0)),"ID not found"))</f>
        <v/>
      </c>
      <c r="D635" s="11" t="str">
        <f aca="false">IF(B635="","",IFERROR(INDEX(Leads!$B:$B,MATCH(B635,Leads!$A:$A,0)),""))</f>
        <v/>
      </c>
      <c r="E635" s="36"/>
      <c r="F635" s="36"/>
      <c r="G635" s="36"/>
      <c r="H635" s="35"/>
      <c r="I635" s="36"/>
    </row>
    <row r="636" customFormat="false" ht="15" hidden="false" customHeight="false" outlineLevel="0" collapsed="false">
      <c r="A636" s="35"/>
      <c r="B636" s="36"/>
      <c r="C636" s="11" t="str">
        <f aca="false">IF(B636="","",IFERROR(INDEX(Leads!$C:$C,MATCH(B636,Leads!$A:$A,0)),"ID not found"))</f>
        <v/>
      </c>
      <c r="D636" s="11" t="str">
        <f aca="false">IF(B636="","",IFERROR(INDEX(Leads!$B:$B,MATCH(B636,Leads!$A:$A,0)),""))</f>
        <v/>
      </c>
      <c r="E636" s="36"/>
      <c r="F636" s="36"/>
      <c r="G636" s="36"/>
      <c r="H636" s="35"/>
      <c r="I636" s="36"/>
    </row>
    <row r="637" customFormat="false" ht="15" hidden="false" customHeight="false" outlineLevel="0" collapsed="false">
      <c r="A637" s="35"/>
      <c r="B637" s="36"/>
      <c r="C637" s="11" t="str">
        <f aca="false">IF(B637="","",IFERROR(INDEX(Leads!$C:$C,MATCH(B637,Leads!$A:$A,0)),"ID not found"))</f>
        <v/>
      </c>
      <c r="D637" s="11" t="str">
        <f aca="false">IF(B637="","",IFERROR(INDEX(Leads!$B:$B,MATCH(B637,Leads!$A:$A,0)),""))</f>
        <v/>
      </c>
      <c r="E637" s="36"/>
      <c r="F637" s="36"/>
      <c r="G637" s="36"/>
      <c r="H637" s="35"/>
      <c r="I637" s="36"/>
    </row>
    <row r="638" customFormat="false" ht="15" hidden="false" customHeight="false" outlineLevel="0" collapsed="false">
      <c r="A638" s="35"/>
      <c r="B638" s="36"/>
      <c r="C638" s="11" t="str">
        <f aca="false">IF(B638="","",IFERROR(INDEX(Leads!$C:$C,MATCH(B638,Leads!$A:$A,0)),"ID not found"))</f>
        <v/>
      </c>
      <c r="D638" s="11" t="str">
        <f aca="false">IF(B638="","",IFERROR(INDEX(Leads!$B:$B,MATCH(B638,Leads!$A:$A,0)),""))</f>
        <v/>
      </c>
      <c r="E638" s="36"/>
      <c r="F638" s="36"/>
      <c r="G638" s="36"/>
      <c r="H638" s="35"/>
      <c r="I638" s="36"/>
    </row>
    <row r="639" customFormat="false" ht="15" hidden="false" customHeight="false" outlineLevel="0" collapsed="false">
      <c r="A639" s="35"/>
      <c r="B639" s="36"/>
      <c r="C639" s="11" t="str">
        <f aca="false">IF(B639="","",IFERROR(INDEX(Leads!$C:$C,MATCH(B639,Leads!$A:$A,0)),"ID not found"))</f>
        <v/>
      </c>
      <c r="D639" s="11" t="str">
        <f aca="false">IF(B639="","",IFERROR(INDEX(Leads!$B:$B,MATCH(B639,Leads!$A:$A,0)),""))</f>
        <v/>
      </c>
      <c r="E639" s="36"/>
      <c r="F639" s="36"/>
      <c r="G639" s="36"/>
      <c r="H639" s="35"/>
      <c r="I639" s="36"/>
    </row>
    <row r="640" customFormat="false" ht="15" hidden="false" customHeight="false" outlineLevel="0" collapsed="false">
      <c r="A640" s="35"/>
      <c r="B640" s="36"/>
      <c r="C640" s="11" t="str">
        <f aca="false">IF(B640="","",IFERROR(INDEX(Leads!$C:$C,MATCH(B640,Leads!$A:$A,0)),"ID not found"))</f>
        <v/>
      </c>
      <c r="D640" s="11" t="str">
        <f aca="false">IF(B640="","",IFERROR(INDEX(Leads!$B:$B,MATCH(B640,Leads!$A:$A,0)),""))</f>
        <v/>
      </c>
      <c r="E640" s="36"/>
      <c r="F640" s="36"/>
      <c r="G640" s="36"/>
      <c r="H640" s="35"/>
      <c r="I640" s="36"/>
    </row>
    <row r="641" customFormat="false" ht="15" hidden="false" customHeight="false" outlineLevel="0" collapsed="false">
      <c r="A641" s="35"/>
      <c r="B641" s="36"/>
      <c r="C641" s="11" t="str">
        <f aca="false">IF(B641="","",IFERROR(INDEX(Leads!$C:$C,MATCH(B641,Leads!$A:$A,0)),"ID not found"))</f>
        <v/>
      </c>
      <c r="D641" s="11" t="str">
        <f aca="false">IF(B641="","",IFERROR(INDEX(Leads!$B:$B,MATCH(B641,Leads!$A:$A,0)),""))</f>
        <v/>
      </c>
      <c r="E641" s="36"/>
      <c r="F641" s="36"/>
      <c r="G641" s="36"/>
      <c r="H641" s="35"/>
      <c r="I641" s="36"/>
    </row>
    <row r="642" customFormat="false" ht="15" hidden="false" customHeight="false" outlineLevel="0" collapsed="false">
      <c r="A642" s="35"/>
      <c r="B642" s="36"/>
      <c r="C642" s="11" t="str">
        <f aca="false">IF(B642="","",IFERROR(INDEX(Leads!$C:$C,MATCH(B642,Leads!$A:$A,0)),"ID not found"))</f>
        <v/>
      </c>
      <c r="D642" s="11" t="str">
        <f aca="false">IF(B642="","",IFERROR(INDEX(Leads!$B:$B,MATCH(B642,Leads!$A:$A,0)),""))</f>
        <v/>
      </c>
      <c r="E642" s="36"/>
      <c r="F642" s="36"/>
      <c r="G642" s="36"/>
      <c r="H642" s="35"/>
      <c r="I642" s="36"/>
    </row>
    <row r="643" customFormat="false" ht="15" hidden="false" customHeight="false" outlineLevel="0" collapsed="false">
      <c r="A643" s="35"/>
      <c r="B643" s="36"/>
      <c r="C643" s="11" t="str">
        <f aca="false">IF(B643="","",IFERROR(INDEX(Leads!$C:$C,MATCH(B643,Leads!$A:$A,0)),"ID not found"))</f>
        <v/>
      </c>
      <c r="D643" s="11" t="str">
        <f aca="false">IF(B643="","",IFERROR(INDEX(Leads!$B:$B,MATCH(B643,Leads!$A:$A,0)),""))</f>
        <v/>
      </c>
      <c r="E643" s="36"/>
      <c r="F643" s="36"/>
      <c r="G643" s="36"/>
      <c r="H643" s="35"/>
      <c r="I643" s="36"/>
    </row>
    <row r="644" customFormat="false" ht="15" hidden="false" customHeight="false" outlineLevel="0" collapsed="false">
      <c r="A644" s="35"/>
      <c r="B644" s="36"/>
      <c r="C644" s="11" t="str">
        <f aca="false">IF(B644="","",IFERROR(INDEX(Leads!$C:$C,MATCH(B644,Leads!$A:$A,0)),"ID not found"))</f>
        <v/>
      </c>
      <c r="D644" s="11" t="str">
        <f aca="false">IF(B644="","",IFERROR(INDEX(Leads!$B:$B,MATCH(B644,Leads!$A:$A,0)),""))</f>
        <v/>
      </c>
      <c r="E644" s="36"/>
      <c r="F644" s="36"/>
      <c r="G644" s="36"/>
      <c r="H644" s="35"/>
      <c r="I644" s="36"/>
    </row>
    <row r="645" customFormat="false" ht="15" hidden="false" customHeight="false" outlineLevel="0" collapsed="false">
      <c r="A645" s="35"/>
      <c r="B645" s="36"/>
      <c r="C645" s="11" t="str">
        <f aca="false">IF(B645="","",IFERROR(INDEX(Leads!$C:$C,MATCH(B645,Leads!$A:$A,0)),"ID not found"))</f>
        <v/>
      </c>
      <c r="D645" s="11" t="str">
        <f aca="false">IF(B645="","",IFERROR(INDEX(Leads!$B:$B,MATCH(B645,Leads!$A:$A,0)),""))</f>
        <v/>
      </c>
      <c r="E645" s="36"/>
      <c r="F645" s="36"/>
      <c r="G645" s="36"/>
      <c r="H645" s="35"/>
      <c r="I645" s="36"/>
    </row>
    <row r="646" customFormat="false" ht="15" hidden="false" customHeight="false" outlineLevel="0" collapsed="false">
      <c r="A646" s="35"/>
      <c r="B646" s="36"/>
      <c r="C646" s="11" t="str">
        <f aca="false">IF(B646="","",IFERROR(INDEX(Leads!$C:$C,MATCH(B646,Leads!$A:$A,0)),"ID not found"))</f>
        <v/>
      </c>
      <c r="D646" s="11" t="str">
        <f aca="false">IF(B646="","",IFERROR(INDEX(Leads!$B:$B,MATCH(B646,Leads!$A:$A,0)),""))</f>
        <v/>
      </c>
      <c r="E646" s="36"/>
      <c r="F646" s="36"/>
      <c r="G646" s="36"/>
      <c r="H646" s="35"/>
      <c r="I646" s="36"/>
    </row>
    <row r="647" customFormat="false" ht="15" hidden="false" customHeight="false" outlineLevel="0" collapsed="false">
      <c r="A647" s="35"/>
      <c r="B647" s="36"/>
      <c r="C647" s="11" t="str">
        <f aca="false">IF(B647="","",IFERROR(INDEX(Leads!$C:$C,MATCH(B647,Leads!$A:$A,0)),"ID not found"))</f>
        <v/>
      </c>
      <c r="D647" s="11" t="str">
        <f aca="false">IF(B647="","",IFERROR(INDEX(Leads!$B:$B,MATCH(B647,Leads!$A:$A,0)),""))</f>
        <v/>
      </c>
      <c r="E647" s="36"/>
      <c r="F647" s="36"/>
      <c r="G647" s="36"/>
      <c r="H647" s="35"/>
      <c r="I647" s="36"/>
    </row>
    <row r="648" customFormat="false" ht="15" hidden="false" customHeight="false" outlineLevel="0" collapsed="false">
      <c r="A648" s="35"/>
      <c r="B648" s="36"/>
      <c r="C648" s="11" t="str">
        <f aca="false">IF(B648="","",IFERROR(INDEX(Leads!$C:$C,MATCH(B648,Leads!$A:$A,0)),"ID not found"))</f>
        <v/>
      </c>
      <c r="D648" s="11" t="str">
        <f aca="false">IF(B648="","",IFERROR(INDEX(Leads!$B:$B,MATCH(B648,Leads!$A:$A,0)),""))</f>
        <v/>
      </c>
      <c r="E648" s="36"/>
      <c r="F648" s="36"/>
      <c r="G648" s="36"/>
      <c r="H648" s="35"/>
      <c r="I648" s="36"/>
    </row>
    <row r="649" customFormat="false" ht="15" hidden="false" customHeight="false" outlineLevel="0" collapsed="false">
      <c r="A649" s="35"/>
      <c r="B649" s="36"/>
      <c r="C649" s="11" t="str">
        <f aca="false">IF(B649="","",IFERROR(INDEX(Leads!$C:$C,MATCH(B649,Leads!$A:$A,0)),"ID not found"))</f>
        <v/>
      </c>
      <c r="D649" s="11" t="str">
        <f aca="false">IF(B649="","",IFERROR(INDEX(Leads!$B:$B,MATCH(B649,Leads!$A:$A,0)),""))</f>
        <v/>
      </c>
      <c r="E649" s="36"/>
      <c r="F649" s="36"/>
      <c r="G649" s="36"/>
      <c r="H649" s="35"/>
      <c r="I649" s="36"/>
    </row>
    <row r="650" customFormat="false" ht="15" hidden="false" customHeight="false" outlineLevel="0" collapsed="false">
      <c r="A650" s="35"/>
      <c r="B650" s="36"/>
      <c r="C650" s="11" t="str">
        <f aca="false">IF(B650="","",IFERROR(INDEX(Leads!$C:$C,MATCH(B650,Leads!$A:$A,0)),"ID not found"))</f>
        <v/>
      </c>
      <c r="D650" s="11" t="str">
        <f aca="false">IF(B650="","",IFERROR(INDEX(Leads!$B:$B,MATCH(B650,Leads!$A:$A,0)),""))</f>
        <v/>
      </c>
      <c r="E650" s="36"/>
      <c r="F650" s="36"/>
      <c r="G650" s="36"/>
      <c r="H650" s="35"/>
      <c r="I650" s="36"/>
    </row>
    <row r="651" customFormat="false" ht="15" hidden="false" customHeight="false" outlineLevel="0" collapsed="false">
      <c r="A651" s="35"/>
      <c r="B651" s="36"/>
      <c r="C651" s="11" t="str">
        <f aca="false">IF(B651="","",IFERROR(INDEX(Leads!$C:$C,MATCH(B651,Leads!$A:$A,0)),"ID not found"))</f>
        <v/>
      </c>
      <c r="D651" s="11" t="str">
        <f aca="false">IF(B651="","",IFERROR(INDEX(Leads!$B:$B,MATCH(B651,Leads!$A:$A,0)),""))</f>
        <v/>
      </c>
      <c r="E651" s="36"/>
      <c r="F651" s="36"/>
      <c r="G651" s="36"/>
      <c r="H651" s="35"/>
      <c r="I651" s="36"/>
    </row>
    <row r="652" customFormat="false" ht="15" hidden="false" customHeight="false" outlineLevel="0" collapsed="false">
      <c r="A652" s="35"/>
      <c r="B652" s="36"/>
      <c r="C652" s="11" t="str">
        <f aca="false">IF(B652="","",IFERROR(INDEX(Leads!$C:$C,MATCH(B652,Leads!$A:$A,0)),"ID not found"))</f>
        <v/>
      </c>
      <c r="D652" s="11" t="str">
        <f aca="false">IF(B652="","",IFERROR(INDEX(Leads!$B:$B,MATCH(B652,Leads!$A:$A,0)),""))</f>
        <v/>
      </c>
      <c r="E652" s="36"/>
      <c r="F652" s="36"/>
      <c r="G652" s="36"/>
      <c r="H652" s="35"/>
      <c r="I652" s="36"/>
    </row>
    <row r="653" customFormat="false" ht="15" hidden="false" customHeight="false" outlineLevel="0" collapsed="false">
      <c r="A653" s="35"/>
      <c r="B653" s="36"/>
      <c r="C653" s="11" t="str">
        <f aca="false">IF(B653="","",IFERROR(INDEX(Leads!$C:$C,MATCH(B653,Leads!$A:$A,0)),"ID not found"))</f>
        <v/>
      </c>
      <c r="D653" s="11" t="str">
        <f aca="false">IF(B653="","",IFERROR(INDEX(Leads!$B:$B,MATCH(B653,Leads!$A:$A,0)),""))</f>
        <v/>
      </c>
      <c r="E653" s="36"/>
      <c r="F653" s="36"/>
      <c r="G653" s="36"/>
      <c r="H653" s="35"/>
      <c r="I653" s="36"/>
    </row>
    <row r="654" customFormat="false" ht="15" hidden="false" customHeight="false" outlineLevel="0" collapsed="false">
      <c r="A654" s="35"/>
      <c r="B654" s="36"/>
      <c r="C654" s="11" t="str">
        <f aca="false">IF(B654="","",IFERROR(INDEX(Leads!$C:$C,MATCH(B654,Leads!$A:$A,0)),"ID not found"))</f>
        <v/>
      </c>
      <c r="D654" s="11" t="str">
        <f aca="false">IF(B654="","",IFERROR(INDEX(Leads!$B:$B,MATCH(B654,Leads!$A:$A,0)),""))</f>
        <v/>
      </c>
      <c r="E654" s="36"/>
      <c r="F654" s="36"/>
      <c r="G654" s="36"/>
      <c r="H654" s="35"/>
      <c r="I654" s="36"/>
    </row>
    <row r="655" customFormat="false" ht="15" hidden="false" customHeight="false" outlineLevel="0" collapsed="false">
      <c r="A655" s="35"/>
      <c r="B655" s="36"/>
      <c r="C655" s="11" t="str">
        <f aca="false">IF(B655="","",IFERROR(INDEX(Leads!$C:$C,MATCH(B655,Leads!$A:$A,0)),"ID not found"))</f>
        <v/>
      </c>
      <c r="D655" s="11" t="str">
        <f aca="false">IF(B655="","",IFERROR(INDEX(Leads!$B:$B,MATCH(B655,Leads!$A:$A,0)),""))</f>
        <v/>
      </c>
      <c r="E655" s="36"/>
      <c r="F655" s="36"/>
      <c r="G655" s="36"/>
      <c r="H655" s="35"/>
      <c r="I655" s="36"/>
    </row>
    <row r="656" customFormat="false" ht="15" hidden="false" customHeight="false" outlineLevel="0" collapsed="false">
      <c r="A656" s="35"/>
      <c r="B656" s="36"/>
      <c r="C656" s="11" t="str">
        <f aca="false">IF(B656="","",IFERROR(INDEX(Leads!$C:$C,MATCH(B656,Leads!$A:$A,0)),"ID not found"))</f>
        <v/>
      </c>
      <c r="D656" s="11" t="str">
        <f aca="false">IF(B656="","",IFERROR(INDEX(Leads!$B:$B,MATCH(B656,Leads!$A:$A,0)),""))</f>
        <v/>
      </c>
      <c r="E656" s="36"/>
      <c r="F656" s="36"/>
      <c r="G656" s="36"/>
      <c r="H656" s="35"/>
      <c r="I656" s="36"/>
    </row>
    <row r="657" customFormat="false" ht="15" hidden="false" customHeight="false" outlineLevel="0" collapsed="false">
      <c r="A657" s="35"/>
      <c r="B657" s="36"/>
      <c r="C657" s="11" t="str">
        <f aca="false">IF(B657="","",IFERROR(INDEX(Leads!$C:$C,MATCH(B657,Leads!$A:$A,0)),"ID not found"))</f>
        <v/>
      </c>
      <c r="D657" s="11" t="str">
        <f aca="false">IF(B657="","",IFERROR(INDEX(Leads!$B:$B,MATCH(B657,Leads!$A:$A,0)),""))</f>
        <v/>
      </c>
      <c r="E657" s="36"/>
      <c r="F657" s="36"/>
      <c r="G657" s="36"/>
      <c r="H657" s="35"/>
      <c r="I657" s="36"/>
    </row>
    <row r="658" customFormat="false" ht="15" hidden="false" customHeight="false" outlineLevel="0" collapsed="false">
      <c r="A658" s="35"/>
      <c r="B658" s="36"/>
      <c r="C658" s="11" t="str">
        <f aca="false">IF(B658="","",IFERROR(INDEX(Leads!$C:$C,MATCH(B658,Leads!$A:$A,0)),"ID not found"))</f>
        <v/>
      </c>
      <c r="D658" s="11" t="str">
        <f aca="false">IF(B658="","",IFERROR(INDEX(Leads!$B:$B,MATCH(B658,Leads!$A:$A,0)),""))</f>
        <v/>
      </c>
      <c r="E658" s="36"/>
      <c r="F658" s="36"/>
      <c r="G658" s="36"/>
      <c r="H658" s="35"/>
      <c r="I658" s="36"/>
    </row>
    <row r="659" customFormat="false" ht="15" hidden="false" customHeight="false" outlineLevel="0" collapsed="false">
      <c r="A659" s="35"/>
      <c r="B659" s="36"/>
      <c r="C659" s="11" t="str">
        <f aca="false">IF(B659="","",IFERROR(INDEX(Leads!$C:$C,MATCH(B659,Leads!$A:$A,0)),"ID not found"))</f>
        <v/>
      </c>
      <c r="D659" s="11" t="str">
        <f aca="false">IF(B659="","",IFERROR(INDEX(Leads!$B:$B,MATCH(B659,Leads!$A:$A,0)),""))</f>
        <v/>
      </c>
      <c r="E659" s="36"/>
      <c r="F659" s="36"/>
      <c r="G659" s="36"/>
      <c r="H659" s="35"/>
      <c r="I659" s="36"/>
    </row>
    <row r="660" customFormat="false" ht="15" hidden="false" customHeight="false" outlineLevel="0" collapsed="false">
      <c r="A660" s="35"/>
      <c r="B660" s="36"/>
      <c r="C660" s="11" t="str">
        <f aca="false">IF(B660="","",IFERROR(INDEX(Leads!$C:$C,MATCH(B660,Leads!$A:$A,0)),"ID not found"))</f>
        <v/>
      </c>
      <c r="D660" s="11" t="str">
        <f aca="false">IF(B660="","",IFERROR(INDEX(Leads!$B:$B,MATCH(B660,Leads!$A:$A,0)),""))</f>
        <v/>
      </c>
      <c r="E660" s="36"/>
      <c r="F660" s="36"/>
      <c r="G660" s="36"/>
      <c r="H660" s="35"/>
      <c r="I660" s="36"/>
    </row>
    <row r="661" customFormat="false" ht="15" hidden="false" customHeight="false" outlineLevel="0" collapsed="false">
      <c r="A661" s="35"/>
      <c r="B661" s="36"/>
      <c r="C661" s="11" t="str">
        <f aca="false">IF(B661="","",IFERROR(INDEX(Leads!$C:$C,MATCH(B661,Leads!$A:$A,0)),"ID not found"))</f>
        <v/>
      </c>
      <c r="D661" s="11" t="str">
        <f aca="false">IF(B661="","",IFERROR(INDEX(Leads!$B:$B,MATCH(B661,Leads!$A:$A,0)),""))</f>
        <v/>
      </c>
      <c r="E661" s="36"/>
      <c r="F661" s="36"/>
      <c r="G661" s="36"/>
      <c r="H661" s="35"/>
      <c r="I661" s="36"/>
    </row>
    <row r="662" customFormat="false" ht="15" hidden="false" customHeight="false" outlineLevel="0" collapsed="false">
      <c r="A662" s="35"/>
      <c r="B662" s="36"/>
      <c r="C662" s="11" t="str">
        <f aca="false">IF(B662="","",IFERROR(INDEX(Leads!$C:$C,MATCH(B662,Leads!$A:$A,0)),"ID not found"))</f>
        <v/>
      </c>
      <c r="D662" s="11" t="str">
        <f aca="false">IF(B662="","",IFERROR(INDEX(Leads!$B:$B,MATCH(B662,Leads!$A:$A,0)),""))</f>
        <v/>
      </c>
      <c r="E662" s="36"/>
      <c r="F662" s="36"/>
      <c r="G662" s="36"/>
      <c r="H662" s="35"/>
      <c r="I662" s="36"/>
    </row>
    <row r="663" customFormat="false" ht="15" hidden="false" customHeight="false" outlineLevel="0" collapsed="false">
      <c r="A663" s="35"/>
      <c r="B663" s="36"/>
      <c r="C663" s="11" t="str">
        <f aca="false">IF(B663="","",IFERROR(INDEX(Leads!$C:$C,MATCH(B663,Leads!$A:$A,0)),"ID not found"))</f>
        <v/>
      </c>
      <c r="D663" s="11" t="str">
        <f aca="false">IF(B663="","",IFERROR(INDEX(Leads!$B:$B,MATCH(B663,Leads!$A:$A,0)),""))</f>
        <v/>
      </c>
      <c r="E663" s="36"/>
      <c r="F663" s="36"/>
      <c r="G663" s="36"/>
      <c r="H663" s="35"/>
      <c r="I663" s="36"/>
    </row>
    <row r="664" customFormat="false" ht="15" hidden="false" customHeight="false" outlineLevel="0" collapsed="false">
      <c r="A664" s="35"/>
      <c r="B664" s="36"/>
      <c r="C664" s="11" t="str">
        <f aca="false">IF(B664="","",IFERROR(INDEX(Leads!$C:$C,MATCH(B664,Leads!$A:$A,0)),"ID not found"))</f>
        <v/>
      </c>
      <c r="D664" s="11" t="str">
        <f aca="false">IF(B664="","",IFERROR(INDEX(Leads!$B:$B,MATCH(B664,Leads!$A:$A,0)),""))</f>
        <v/>
      </c>
      <c r="E664" s="36"/>
      <c r="F664" s="36"/>
      <c r="G664" s="36"/>
      <c r="H664" s="35"/>
      <c r="I664" s="36"/>
    </row>
    <row r="665" customFormat="false" ht="15" hidden="false" customHeight="false" outlineLevel="0" collapsed="false">
      <c r="A665" s="35"/>
      <c r="B665" s="36"/>
      <c r="C665" s="11" t="str">
        <f aca="false">IF(B665="","",IFERROR(INDEX(Leads!$C:$C,MATCH(B665,Leads!$A:$A,0)),"ID not found"))</f>
        <v/>
      </c>
      <c r="D665" s="11" t="str">
        <f aca="false">IF(B665="","",IFERROR(INDEX(Leads!$B:$B,MATCH(B665,Leads!$A:$A,0)),""))</f>
        <v/>
      </c>
      <c r="E665" s="36"/>
      <c r="F665" s="36"/>
      <c r="G665" s="36"/>
      <c r="H665" s="35"/>
      <c r="I665" s="36"/>
    </row>
    <row r="666" customFormat="false" ht="15" hidden="false" customHeight="false" outlineLevel="0" collapsed="false">
      <c r="A666" s="35"/>
      <c r="B666" s="36"/>
      <c r="C666" s="11" t="str">
        <f aca="false">IF(B666="","",IFERROR(INDEX(Leads!$C:$C,MATCH(B666,Leads!$A:$A,0)),"ID not found"))</f>
        <v/>
      </c>
      <c r="D666" s="11" t="str">
        <f aca="false">IF(B666="","",IFERROR(INDEX(Leads!$B:$B,MATCH(B666,Leads!$A:$A,0)),""))</f>
        <v/>
      </c>
      <c r="E666" s="36"/>
      <c r="F666" s="36"/>
      <c r="G666" s="36"/>
      <c r="H666" s="35"/>
      <c r="I666" s="36"/>
    </row>
    <row r="667" customFormat="false" ht="15" hidden="false" customHeight="false" outlineLevel="0" collapsed="false">
      <c r="A667" s="35"/>
      <c r="B667" s="36"/>
      <c r="C667" s="11" t="str">
        <f aca="false">IF(B667="","",IFERROR(INDEX(Leads!$C:$C,MATCH(B667,Leads!$A:$A,0)),"ID not found"))</f>
        <v/>
      </c>
      <c r="D667" s="11" t="str">
        <f aca="false">IF(B667="","",IFERROR(INDEX(Leads!$B:$B,MATCH(B667,Leads!$A:$A,0)),""))</f>
        <v/>
      </c>
      <c r="E667" s="36"/>
      <c r="F667" s="36"/>
      <c r="G667" s="36"/>
      <c r="H667" s="35"/>
      <c r="I667" s="36"/>
    </row>
    <row r="668" customFormat="false" ht="15" hidden="false" customHeight="false" outlineLevel="0" collapsed="false">
      <c r="A668" s="35"/>
      <c r="B668" s="36"/>
      <c r="C668" s="11" t="str">
        <f aca="false">IF(B668="","",IFERROR(INDEX(Leads!$C:$C,MATCH(B668,Leads!$A:$A,0)),"ID not found"))</f>
        <v/>
      </c>
      <c r="D668" s="11" t="str">
        <f aca="false">IF(B668="","",IFERROR(INDEX(Leads!$B:$B,MATCH(B668,Leads!$A:$A,0)),""))</f>
        <v/>
      </c>
      <c r="E668" s="36"/>
      <c r="F668" s="36"/>
      <c r="G668" s="36"/>
      <c r="H668" s="35"/>
      <c r="I668" s="36"/>
    </row>
    <row r="669" customFormat="false" ht="15" hidden="false" customHeight="false" outlineLevel="0" collapsed="false">
      <c r="A669" s="35"/>
      <c r="B669" s="36"/>
      <c r="C669" s="11" t="str">
        <f aca="false">IF(B669="","",IFERROR(INDEX(Leads!$C:$C,MATCH(B669,Leads!$A:$A,0)),"ID not found"))</f>
        <v/>
      </c>
      <c r="D669" s="11" t="str">
        <f aca="false">IF(B669="","",IFERROR(INDEX(Leads!$B:$B,MATCH(B669,Leads!$A:$A,0)),""))</f>
        <v/>
      </c>
      <c r="E669" s="36"/>
      <c r="F669" s="36"/>
      <c r="G669" s="36"/>
      <c r="H669" s="35"/>
      <c r="I669" s="36"/>
    </row>
    <row r="670" customFormat="false" ht="15" hidden="false" customHeight="false" outlineLevel="0" collapsed="false">
      <c r="A670" s="35"/>
      <c r="B670" s="36"/>
      <c r="C670" s="11" t="str">
        <f aca="false">IF(B670="","",IFERROR(INDEX(Leads!$C:$C,MATCH(B670,Leads!$A:$A,0)),"ID not found"))</f>
        <v/>
      </c>
      <c r="D670" s="11" t="str">
        <f aca="false">IF(B670="","",IFERROR(INDEX(Leads!$B:$B,MATCH(B670,Leads!$A:$A,0)),""))</f>
        <v/>
      </c>
      <c r="E670" s="36"/>
      <c r="F670" s="36"/>
      <c r="G670" s="36"/>
      <c r="H670" s="35"/>
      <c r="I670" s="36"/>
    </row>
    <row r="671" customFormat="false" ht="15" hidden="false" customHeight="false" outlineLevel="0" collapsed="false">
      <c r="A671" s="35"/>
      <c r="B671" s="36"/>
      <c r="C671" s="11" t="str">
        <f aca="false">IF(B671="","",IFERROR(INDEX(Leads!$C:$C,MATCH(B671,Leads!$A:$A,0)),"ID not found"))</f>
        <v/>
      </c>
      <c r="D671" s="11" t="str">
        <f aca="false">IF(B671="","",IFERROR(INDEX(Leads!$B:$B,MATCH(B671,Leads!$A:$A,0)),""))</f>
        <v/>
      </c>
      <c r="E671" s="36"/>
      <c r="F671" s="36"/>
      <c r="G671" s="36"/>
      <c r="H671" s="35"/>
      <c r="I671" s="36"/>
    </row>
    <row r="672" customFormat="false" ht="15" hidden="false" customHeight="false" outlineLevel="0" collapsed="false">
      <c r="A672" s="35"/>
      <c r="B672" s="36"/>
      <c r="C672" s="11" t="str">
        <f aca="false">IF(B672="","",IFERROR(INDEX(Leads!$C:$C,MATCH(B672,Leads!$A:$A,0)),"ID not found"))</f>
        <v/>
      </c>
      <c r="D672" s="11" t="str">
        <f aca="false">IF(B672="","",IFERROR(INDEX(Leads!$B:$B,MATCH(B672,Leads!$A:$A,0)),""))</f>
        <v/>
      </c>
      <c r="E672" s="36"/>
      <c r="F672" s="36"/>
      <c r="G672" s="36"/>
      <c r="H672" s="35"/>
      <c r="I672" s="36"/>
    </row>
    <row r="673" customFormat="false" ht="15" hidden="false" customHeight="false" outlineLevel="0" collapsed="false">
      <c r="A673" s="35"/>
      <c r="B673" s="36"/>
      <c r="C673" s="11" t="str">
        <f aca="false">IF(B673="","",IFERROR(INDEX(Leads!$C:$C,MATCH(B673,Leads!$A:$A,0)),"ID not found"))</f>
        <v/>
      </c>
      <c r="D673" s="11" t="str">
        <f aca="false">IF(B673="","",IFERROR(INDEX(Leads!$B:$B,MATCH(B673,Leads!$A:$A,0)),""))</f>
        <v/>
      </c>
      <c r="E673" s="36"/>
      <c r="F673" s="36"/>
      <c r="G673" s="36"/>
      <c r="H673" s="35"/>
      <c r="I673" s="36"/>
    </row>
    <row r="674" customFormat="false" ht="15" hidden="false" customHeight="false" outlineLevel="0" collapsed="false">
      <c r="A674" s="35"/>
      <c r="B674" s="36"/>
      <c r="C674" s="11" t="str">
        <f aca="false">IF(B674="","",IFERROR(INDEX(Leads!$C:$C,MATCH(B674,Leads!$A:$A,0)),"ID not found"))</f>
        <v/>
      </c>
      <c r="D674" s="11" t="str">
        <f aca="false">IF(B674="","",IFERROR(INDEX(Leads!$B:$B,MATCH(B674,Leads!$A:$A,0)),""))</f>
        <v/>
      </c>
      <c r="E674" s="36"/>
      <c r="F674" s="36"/>
      <c r="G674" s="36"/>
      <c r="H674" s="35"/>
      <c r="I674" s="36"/>
    </row>
    <row r="675" customFormat="false" ht="15" hidden="false" customHeight="false" outlineLevel="0" collapsed="false">
      <c r="A675" s="35"/>
      <c r="B675" s="36"/>
      <c r="C675" s="11" t="str">
        <f aca="false">IF(B675="","",IFERROR(INDEX(Leads!$C:$C,MATCH(B675,Leads!$A:$A,0)),"ID not found"))</f>
        <v/>
      </c>
      <c r="D675" s="11" t="str">
        <f aca="false">IF(B675="","",IFERROR(INDEX(Leads!$B:$B,MATCH(B675,Leads!$A:$A,0)),""))</f>
        <v/>
      </c>
      <c r="E675" s="36"/>
      <c r="F675" s="36"/>
      <c r="G675" s="36"/>
      <c r="H675" s="35"/>
      <c r="I675" s="36"/>
    </row>
    <row r="676" customFormat="false" ht="15" hidden="false" customHeight="false" outlineLevel="0" collapsed="false">
      <c r="A676" s="35"/>
      <c r="B676" s="36"/>
      <c r="C676" s="11" t="str">
        <f aca="false">IF(B676="","",IFERROR(INDEX(Leads!$C:$C,MATCH(B676,Leads!$A:$A,0)),"ID not found"))</f>
        <v/>
      </c>
      <c r="D676" s="11" t="str">
        <f aca="false">IF(B676="","",IFERROR(INDEX(Leads!$B:$B,MATCH(B676,Leads!$A:$A,0)),""))</f>
        <v/>
      </c>
      <c r="E676" s="36"/>
      <c r="F676" s="36"/>
      <c r="G676" s="36"/>
      <c r="H676" s="35"/>
      <c r="I676" s="36"/>
    </row>
    <row r="677" customFormat="false" ht="15" hidden="false" customHeight="false" outlineLevel="0" collapsed="false">
      <c r="A677" s="35"/>
      <c r="B677" s="36"/>
      <c r="C677" s="11" t="str">
        <f aca="false">IF(B677="","",IFERROR(INDEX(Leads!$C:$C,MATCH(B677,Leads!$A:$A,0)),"ID not found"))</f>
        <v/>
      </c>
      <c r="D677" s="11" t="str">
        <f aca="false">IF(B677="","",IFERROR(INDEX(Leads!$B:$B,MATCH(B677,Leads!$A:$A,0)),""))</f>
        <v/>
      </c>
      <c r="E677" s="36"/>
      <c r="F677" s="36"/>
      <c r="G677" s="36"/>
      <c r="H677" s="35"/>
      <c r="I677" s="36"/>
    </row>
    <row r="678" customFormat="false" ht="15" hidden="false" customHeight="false" outlineLevel="0" collapsed="false">
      <c r="A678" s="35"/>
      <c r="B678" s="36"/>
      <c r="C678" s="11" t="str">
        <f aca="false">IF(B678="","",IFERROR(INDEX(Leads!$C:$C,MATCH(B678,Leads!$A:$A,0)),"ID not found"))</f>
        <v/>
      </c>
      <c r="D678" s="11" t="str">
        <f aca="false">IF(B678="","",IFERROR(INDEX(Leads!$B:$B,MATCH(B678,Leads!$A:$A,0)),""))</f>
        <v/>
      </c>
      <c r="E678" s="36"/>
      <c r="F678" s="36"/>
      <c r="G678" s="36"/>
      <c r="H678" s="35"/>
      <c r="I678" s="36"/>
    </row>
    <row r="679" customFormat="false" ht="15" hidden="false" customHeight="false" outlineLevel="0" collapsed="false">
      <c r="A679" s="35"/>
      <c r="B679" s="36"/>
      <c r="C679" s="11" t="str">
        <f aca="false">IF(B679="","",IFERROR(INDEX(Leads!$C:$C,MATCH(B679,Leads!$A:$A,0)),"ID not found"))</f>
        <v/>
      </c>
      <c r="D679" s="11" t="str">
        <f aca="false">IF(B679="","",IFERROR(INDEX(Leads!$B:$B,MATCH(B679,Leads!$A:$A,0)),""))</f>
        <v/>
      </c>
      <c r="E679" s="36"/>
      <c r="F679" s="36"/>
      <c r="G679" s="36"/>
      <c r="H679" s="35"/>
      <c r="I679" s="36"/>
    </row>
    <row r="680" customFormat="false" ht="15" hidden="false" customHeight="false" outlineLevel="0" collapsed="false">
      <c r="A680" s="35"/>
      <c r="B680" s="36"/>
      <c r="C680" s="11" t="str">
        <f aca="false">IF(B680="","",IFERROR(INDEX(Leads!$C:$C,MATCH(B680,Leads!$A:$A,0)),"ID not found"))</f>
        <v/>
      </c>
      <c r="D680" s="11" t="str">
        <f aca="false">IF(B680="","",IFERROR(INDEX(Leads!$B:$B,MATCH(B680,Leads!$A:$A,0)),""))</f>
        <v/>
      </c>
      <c r="E680" s="36"/>
      <c r="F680" s="36"/>
      <c r="G680" s="36"/>
      <c r="H680" s="35"/>
      <c r="I680" s="36"/>
    </row>
    <row r="681" customFormat="false" ht="15" hidden="false" customHeight="false" outlineLevel="0" collapsed="false">
      <c r="A681" s="35"/>
      <c r="B681" s="36"/>
      <c r="C681" s="11" t="str">
        <f aca="false">IF(B681="","",IFERROR(INDEX(Leads!$C:$C,MATCH(B681,Leads!$A:$A,0)),"ID not found"))</f>
        <v/>
      </c>
      <c r="D681" s="11" t="str">
        <f aca="false">IF(B681="","",IFERROR(INDEX(Leads!$B:$B,MATCH(B681,Leads!$A:$A,0)),""))</f>
        <v/>
      </c>
      <c r="E681" s="36"/>
      <c r="F681" s="36"/>
      <c r="G681" s="36"/>
      <c r="H681" s="35"/>
      <c r="I681" s="36"/>
    </row>
    <row r="682" customFormat="false" ht="15" hidden="false" customHeight="false" outlineLevel="0" collapsed="false">
      <c r="A682" s="35"/>
      <c r="B682" s="36"/>
      <c r="C682" s="11" t="str">
        <f aca="false">IF(B682="","",IFERROR(INDEX(Leads!$C:$C,MATCH(B682,Leads!$A:$A,0)),"ID not found"))</f>
        <v/>
      </c>
      <c r="D682" s="11" t="str">
        <f aca="false">IF(B682="","",IFERROR(INDEX(Leads!$B:$B,MATCH(B682,Leads!$A:$A,0)),""))</f>
        <v/>
      </c>
      <c r="E682" s="36"/>
      <c r="F682" s="36"/>
      <c r="G682" s="36"/>
      <c r="H682" s="35"/>
      <c r="I682" s="36"/>
    </row>
    <row r="683" customFormat="false" ht="15" hidden="false" customHeight="false" outlineLevel="0" collapsed="false">
      <c r="A683" s="35"/>
      <c r="B683" s="36"/>
      <c r="C683" s="11" t="str">
        <f aca="false">IF(B683="","",IFERROR(INDEX(Leads!$C:$C,MATCH(B683,Leads!$A:$A,0)),"ID not found"))</f>
        <v/>
      </c>
      <c r="D683" s="11" t="str">
        <f aca="false">IF(B683="","",IFERROR(INDEX(Leads!$B:$B,MATCH(B683,Leads!$A:$A,0)),""))</f>
        <v/>
      </c>
      <c r="E683" s="36"/>
      <c r="F683" s="36"/>
      <c r="G683" s="36"/>
      <c r="H683" s="35"/>
      <c r="I683" s="36"/>
    </row>
    <row r="684" customFormat="false" ht="15" hidden="false" customHeight="false" outlineLevel="0" collapsed="false">
      <c r="A684" s="35"/>
      <c r="B684" s="36"/>
      <c r="C684" s="11" t="str">
        <f aca="false">IF(B684="","",IFERROR(INDEX(Leads!$C:$C,MATCH(B684,Leads!$A:$A,0)),"ID not found"))</f>
        <v/>
      </c>
      <c r="D684" s="11" t="str">
        <f aca="false">IF(B684="","",IFERROR(INDEX(Leads!$B:$B,MATCH(B684,Leads!$A:$A,0)),""))</f>
        <v/>
      </c>
      <c r="E684" s="36"/>
      <c r="F684" s="36"/>
      <c r="G684" s="36"/>
      <c r="H684" s="35"/>
      <c r="I684" s="36"/>
    </row>
    <row r="685" customFormat="false" ht="15" hidden="false" customHeight="false" outlineLevel="0" collapsed="false">
      <c r="A685" s="35"/>
      <c r="B685" s="36"/>
      <c r="C685" s="11" t="str">
        <f aca="false">IF(B685="","",IFERROR(INDEX(Leads!$C:$C,MATCH(B685,Leads!$A:$A,0)),"ID not found"))</f>
        <v/>
      </c>
      <c r="D685" s="11" t="str">
        <f aca="false">IF(B685="","",IFERROR(INDEX(Leads!$B:$B,MATCH(B685,Leads!$A:$A,0)),""))</f>
        <v/>
      </c>
      <c r="E685" s="36"/>
      <c r="F685" s="36"/>
      <c r="G685" s="36"/>
      <c r="H685" s="35"/>
      <c r="I685" s="36"/>
    </row>
    <row r="686" customFormat="false" ht="15" hidden="false" customHeight="false" outlineLevel="0" collapsed="false">
      <c r="A686" s="35"/>
      <c r="B686" s="36"/>
      <c r="C686" s="11" t="str">
        <f aca="false">IF(B686="","",IFERROR(INDEX(Leads!$C:$C,MATCH(B686,Leads!$A:$A,0)),"ID not found"))</f>
        <v/>
      </c>
      <c r="D686" s="11" t="str">
        <f aca="false">IF(B686="","",IFERROR(INDEX(Leads!$B:$B,MATCH(B686,Leads!$A:$A,0)),""))</f>
        <v/>
      </c>
      <c r="E686" s="36"/>
      <c r="F686" s="36"/>
      <c r="G686" s="36"/>
      <c r="H686" s="35"/>
      <c r="I686" s="36"/>
    </row>
    <row r="687" customFormat="false" ht="15" hidden="false" customHeight="false" outlineLevel="0" collapsed="false">
      <c r="A687" s="35"/>
      <c r="B687" s="36"/>
      <c r="C687" s="11" t="str">
        <f aca="false">IF(B687="","",IFERROR(INDEX(Leads!$C:$C,MATCH(B687,Leads!$A:$A,0)),"ID not found"))</f>
        <v/>
      </c>
      <c r="D687" s="11" t="str">
        <f aca="false">IF(B687="","",IFERROR(INDEX(Leads!$B:$B,MATCH(B687,Leads!$A:$A,0)),""))</f>
        <v/>
      </c>
      <c r="E687" s="36"/>
      <c r="F687" s="36"/>
      <c r="G687" s="36"/>
      <c r="H687" s="35"/>
      <c r="I687" s="36"/>
    </row>
    <row r="688" customFormat="false" ht="15" hidden="false" customHeight="false" outlineLevel="0" collapsed="false">
      <c r="A688" s="35"/>
      <c r="B688" s="36"/>
      <c r="C688" s="11" t="str">
        <f aca="false">IF(B688="","",IFERROR(INDEX(Leads!$C:$C,MATCH(B688,Leads!$A:$A,0)),"ID not found"))</f>
        <v/>
      </c>
      <c r="D688" s="11" t="str">
        <f aca="false">IF(B688="","",IFERROR(INDEX(Leads!$B:$B,MATCH(B688,Leads!$A:$A,0)),""))</f>
        <v/>
      </c>
      <c r="E688" s="36"/>
      <c r="F688" s="36"/>
      <c r="G688" s="36"/>
      <c r="H688" s="35"/>
      <c r="I688" s="36"/>
    </row>
    <row r="689" customFormat="false" ht="15" hidden="false" customHeight="false" outlineLevel="0" collapsed="false">
      <c r="A689" s="35"/>
      <c r="B689" s="36"/>
      <c r="C689" s="11" t="str">
        <f aca="false">IF(B689="","",IFERROR(INDEX(Leads!$C:$C,MATCH(B689,Leads!$A:$A,0)),"ID not found"))</f>
        <v/>
      </c>
      <c r="D689" s="11" t="str">
        <f aca="false">IF(B689="","",IFERROR(INDEX(Leads!$B:$B,MATCH(B689,Leads!$A:$A,0)),""))</f>
        <v/>
      </c>
      <c r="E689" s="36"/>
      <c r="F689" s="36"/>
      <c r="G689" s="36"/>
      <c r="H689" s="35"/>
      <c r="I689" s="36"/>
    </row>
    <row r="690" customFormat="false" ht="15" hidden="false" customHeight="false" outlineLevel="0" collapsed="false">
      <c r="A690" s="35"/>
      <c r="B690" s="36"/>
      <c r="C690" s="11" t="str">
        <f aca="false">IF(B690="","",IFERROR(INDEX(Leads!$C:$C,MATCH(B690,Leads!$A:$A,0)),"ID not found"))</f>
        <v/>
      </c>
      <c r="D690" s="11" t="str">
        <f aca="false">IF(B690="","",IFERROR(INDEX(Leads!$B:$B,MATCH(B690,Leads!$A:$A,0)),""))</f>
        <v/>
      </c>
      <c r="E690" s="36"/>
      <c r="F690" s="36"/>
      <c r="G690" s="36"/>
      <c r="H690" s="35"/>
      <c r="I690" s="36"/>
    </row>
    <row r="691" customFormat="false" ht="15" hidden="false" customHeight="false" outlineLevel="0" collapsed="false">
      <c r="A691" s="35"/>
      <c r="B691" s="36"/>
      <c r="C691" s="11" t="str">
        <f aca="false">IF(B691="","",IFERROR(INDEX(Leads!$C:$C,MATCH(B691,Leads!$A:$A,0)),"ID not found"))</f>
        <v/>
      </c>
      <c r="D691" s="11" t="str">
        <f aca="false">IF(B691="","",IFERROR(INDEX(Leads!$B:$B,MATCH(B691,Leads!$A:$A,0)),""))</f>
        <v/>
      </c>
      <c r="E691" s="36"/>
      <c r="F691" s="36"/>
      <c r="G691" s="36"/>
      <c r="H691" s="35"/>
      <c r="I691" s="36"/>
    </row>
    <row r="692" customFormat="false" ht="15" hidden="false" customHeight="false" outlineLevel="0" collapsed="false">
      <c r="A692" s="35"/>
      <c r="B692" s="36"/>
      <c r="C692" s="11" t="str">
        <f aca="false">IF(B692="","",IFERROR(INDEX(Leads!$C:$C,MATCH(B692,Leads!$A:$A,0)),"ID not found"))</f>
        <v/>
      </c>
      <c r="D692" s="11" t="str">
        <f aca="false">IF(B692="","",IFERROR(INDEX(Leads!$B:$B,MATCH(B692,Leads!$A:$A,0)),""))</f>
        <v/>
      </c>
      <c r="E692" s="36"/>
      <c r="F692" s="36"/>
      <c r="G692" s="36"/>
      <c r="H692" s="35"/>
      <c r="I692" s="36"/>
    </row>
    <row r="693" customFormat="false" ht="15" hidden="false" customHeight="false" outlineLevel="0" collapsed="false">
      <c r="A693" s="35"/>
      <c r="B693" s="36"/>
      <c r="C693" s="11" t="str">
        <f aca="false">IF(B693="","",IFERROR(INDEX(Leads!$C:$C,MATCH(B693,Leads!$A:$A,0)),"ID not found"))</f>
        <v/>
      </c>
      <c r="D693" s="11" t="str">
        <f aca="false">IF(B693="","",IFERROR(INDEX(Leads!$B:$B,MATCH(B693,Leads!$A:$A,0)),""))</f>
        <v/>
      </c>
      <c r="E693" s="36"/>
      <c r="F693" s="36"/>
      <c r="G693" s="36"/>
      <c r="H693" s="35"/>
      <c r="I693" s="36"/>
    </row>
    <row r="694" customFormat="false" ht="15" hidden="false" customHeight="false" outlineLevel="0" collapsed="false">
      <c r="A694" s="35"/>
      <c r="B694" s="36"/>
      <c r="C694" s="11" t="str">
        <f aca="false">IF(B694="","",IFERROR(INDEX(Leads!$C:$C,MATCH(B694,Leads!$A:$A,0)),"ID not found"))</f>
        <v/>
      </c>
      <c r="D694" s="11" t="str">
        <f aca="false">IF(B694="","",IFERROR(INDEX(Leads!$B:$B,MATCH(B694,Leads!$A:$A,0)),""))</f>
        <v/>
      </c>
      <c r="E694" s="36"/>
      <c r="F694" s="36"/>
      <c r="G694" s="36"/>
      <c r="H694" s="35"/>
      <c r="I694" s="36"/>
    </row>
    <row r="695" customFormat="false" ht="15" hidden="false" customHeight="false" outlineLevel="0" collapsed="false">
      <c r="A695" s="35"/>
      <c r="B695" s="36"/>
      <c r="C695" s="11" t="str">
        <f aca="false">IF(B695="","",IFERROR(INDEX(Leads!$C:$C,MATCH(B695,Leads!$A:$A,0)),"ID not found"))</f>
        <v/>
      </c>
      <c r="D695" s="11" t="str">
        <f aca="false">IF(B695="","",IFERROR(INDEX(Leads!$B:$B,MATCH(B695,Leads!$A:$A,0)),""))</f>
        <v/>
      </c>
      <c r="E695" s="36"/>
      <c r="F695" s="36"/>
      <c r="G695" s="36"/>
      <c r="H695" s="35"/>
      <c r="I695" s="36"/>
    </row>
    <row r="696" customFormat="false" ht="15" hidden="false" customHeight="false" outlineLevel="0" collapsed="false">
      <c r="A696" s="35"/>
      <c r="B696" s="36"/>
      <c r="C696" s="11" t="str">
        <f aca="false">IF(B696="","",IFERROR(INDEX(Leads!$C:$C,MATCH(B696,Leads!$A:$A,0)),"ID not found"))</f>
        <v/>
      </c>
      <c r="D696" s="11" t="str">
        <f aca="false">IF(B696="","",IFERROR(INDEX(Leads!$B:$B,MATCH(B696,Leads!$A:$A,0)),""))</f>
        <v/>
      </c>
      <c r="E696" s="36"/>
      <c r="F696" s="36"/>
      <c r="G696" s="36"/>
      <c r="H696" s="35"/>
      <c r="I696" s="36"/>
    </row>
    <row r="697" customFormat="false" ht="15" hidden="false" customHeight="false" outlineLevel="0" collapsed="false">
      <c r="A697" s="35"/>
      <c r="B697" s="36"/>
      <c r="C697" s="11" t="str">
        <f aca="false">IF(B697="","",IFERROR(INDEX(Leads!$C:$C,MATCH(B697,Leads!$A:$A,0)),"ID not found"))</f>
        <v/>
      </c>
      <c r="D697" s="11" t="str">
        <f aca="false">IF(B697="","",IFERROR(INDEX(Leads!$B:$B,MATCH(B697,Leads!$A:$A,0)),""))</f>
        <v/>
      </c>
      <c r="E697" s="36"/>
      <c r="F697" s="36"/>
      <c r="G697" s="36"/>
      <c r="H697" s="35"/>
      <c r="I697" s="36"/>
    </row>
    <row r="698" customFormat="false" ht="15" hidden="false" customHeight="false" outlineLevel="0" collapsed="false">
      <c r="A698" s="35"/>
      <c r="B698" s="36"/>
      <c r="C698" s="11" t="str">
        <f aca="false">IF(B698="","",IFERROR(INDEX(Leads!$C:$C,MATCH(B698,Leads!$A:$A,0)),"ID not found"))</f>
        <v/>
      </c>
      <c r="D698" s="11" t="str">
        <f aca="false">IF(B698="","",IFERROR(INDEX(Leads!$B:$B,MATCH(B698,Leads!$A:$A,0)),""))</f>
        <v/>
      </c>
      <c r="E698" s="36"/>
      <c r="F698" s="36"/>
      <c r="G698" s="36"/>
      <c r="H698" s="35"/>
      <c r="I698" s="36"/>
    </row>
    <row r="699" customFormat="false" ht="15" hidden="false" customHeight="false" outlineLevel="0" collapsed="false">
      <c r="A699" s="35"/>
      <c r="B699" s="36"/>
      <c r="C699" s="11" t="str">
        <f aca="false">IF(B699="","",IFERROR(INDEX(Leads!$C:$C,MATCH(B699,Leads!$A:$A,0)),"ID not found"))</f>
        <v/>
      </c>
      <c r="D699" s="11" t="str">
        <f aca="false">IF(B699="","",IFERROR(INDEX(Leads!$B:$B,MATCH(B699,Leads!$A:$A,0)),""))</f>
        <v/>
      </c>
      <c r="E699" s="36"/>
      <c r="F699" s="36"/>
      <c r="G699" s="36"/>
      <c r="H699" s="35"/>
      <c r="I699" s="36"/>
    </row>
    <row r="700" customFormat="false" ht="15" hidden="false" customHeight="false" outlineLevel="0" collapsed="false">
      <c r="A700" s="35"/>
      <c r="B700" s="36"/>
      <c r="C700" s="11" t="str">
        <f aca="false">IF(B700="","",IFERROR(INDEX(Leads!$C:$C,MATCH(B700,Leads!$A:$A,0)),"ID not found"))</f>
        <v/>
      </c>
      <c r="D700" s="11" t="str">
        <f aca="false">IF(B700="","",IFERROR(INDEX(Leads!$B:$B,MATCH(B700,Leads!$A:$A,0)),""))</f>
        <v/>
      </c>
      <c r="E700" s="36"/>
      <c r="F700" s="36"/>
      <c r="G700" s="36"/>
      <c r="H700" s="35"/>
      <c r="I700" s="36"/>
    </row>
    <row r="701" customFormat="false" ht="15" hidden="false" customHeight="false" outlineLevel="0" collapsed="false">
      <c r="A701" s="35"/>
      <c r="B701" s="36"/>
      <c r="C701" s="11" t="str">
        <f aca="false">IF(B701="","",IFERROR(INDEX(Leads!$C:$C,MATCH(B701,Leads!$A:$A,0)),"ID not found"))</f>
        <v/>
      </c>
      <c r="D701" s="11" t="str">
        <f aca="false">IF(B701="","",IFERROR(INDEX(Leads!$B:$B,MATCH(B701,Leads!$A:$A,0)),""))</f>
        <v/>
      </c>
      <c r="E701" s="36"/>
      <c r="F701" s="36"/>
      <c r="G701" s="36"/>
      <c r="H701" s="35"/>
      <c r="I701" s="36"/>
    </row>
    <row r="702" customFormat="false" ht="15" hidden="false" customHeight="false" outlineLevel="0" collapsed="false">
      <c r="A702" s="35"/>
      <c r="B702" s="36"/>
      <c r="C702" s="11" t="str">
        <f aca="false">IF(B702="","",IFERROR(INDEX(Leads!$C:$C,MATCH(B702,Leads!$A:$A,0)),"ID not found"))</f>
        <v/>
      </c>
      <c r="D702" s="11" t="str">
        <f aca="false">IF(B702="","",IFERROR(INDEX(Leads!$B:$B,MATCH(B702,Leads!$A:$A,0)),""))</f>
        <v/>
      </c>
      <c r="E702" s="36"/>
      <c r="F702" s="36"/>
      <c r="G702" s="36"/>
      <c r="H702" s="35"/>
      <c r="I702" s="36"/>
    </row>
    <row r="703" customFormat="false" ht="15" hidden="false" customHeight="false" outlineLevel="0" collapsed="false">
      <c r="A703" s="35"/>
      <c r="B703" s="36"/>
      <c r="C703" s="11" t="str">
        <f aca="false">IF(B703="","",IFERROR(INDEX(Leads!$C:$C,MATCH(B703,Leads!$A:$A,0)),"ID not found"))</f>
        <v/>
      </c>
      <c r="D703" s="11" t="str">
        <f aca="false">IF(B703="","",IFERROR(INDEX(Leads!$B:$B,MATCH(B703,Leads!$A:$A,0)),""))</f>
        <v/>
      </c>
      <c r="E703" s="36"/>
      <c r="F703" s="36"/>
      <c r="G703" s="36"/>
      <c r="H703" s="35"/>
      <c r="I703" s="36"/>
    </row>
    <row r="704" customFormat="false" ht="15" hidden="false" customHeight="false" outlineLevel="0" collapsed="false">
      <c r="A704" s="35"/>
      <c r="B704" s="36"/>
      <c r="C704" s="11" t="str">
        <f aca="false">IF(B704="","",IFERROR(INDEX(Leads!$C:$C,MATCH(B704,Leads!$A:$A,0)),"ID not found"))</f>
        <v/>
      </c>
      <c r="D704" s="11" t="str">
        <f aca="false">IF(B704="","",IFERROR(INDEX(Leads!$B:$B,MATCH(B704,Leads!$A:$A,0)),""))</f>
        <v/>
      </c>
      <c r="E704" s="36"/>
      <c r="F704" s="36"/>
      <c r="G704" s="36"/>
      <c r="H704" s="35"/>
      <c r="I704" s="36"/>
    </row>
    <row r="705" customFormat="false" ht="15" hidden="false" customHeight="false" outlineLevel="0" collapsed="false">
      <c r="A705" s="35"/>
      <c r="B705" s="36"/>
      <c r="C705" s="11" t="str">
        <f aca="false">IF(B705="","",IFERROR(INDEX(Leads!$C:$C,MATCH(B705,Leads!$A:$A,0)),"ID not found"))</f>
        <v/>
      </c>
      <c r="D705" s="11" t="str">
        <f aca="false">IF(B705="","",IFERROR(INDEX(Leads!$B:$B,MATCH(B705,Leads!$A:$A,0)),""))</f>
        <v/>
      </c>
      <c r="E705" s="36"/>
      <c r="F705" s="36"/>
      <c r="G705" s="36"/>
      <c r="H705" s="35"/>
      <c r="I705" s="36"/>
    </row>
    <row r="706" customFormat="false" ht="15" hidden="false" customHeight="false" outlineLevel="0" collapsed="false">
      <c r="A706" s="35"/>
      <c r="B706" s="36"/>
      <c r="C706" s="11" t="str">
        <f aca="false">IF(B706="","",IFERROR(INDEX(Leads!$C:$C,MATCH(B706,Leads!$A:$A,0)),"ID not found"))</f>
        <v/>
      </c>
      <c r="D706" s="11" t="str">
        <f aca="false">IF(B706="","",IFERROR(INDEX(Leads!$B:$B,MATCH(B706,Leads!$A:$A,0)),""))</f>
        <v/>
      </c>
      <c r="E706" s="36"/>
      <c r="F706" s="36"/>
      <c r="G706" s="36"/>
      <c r="H706" s="35"/>
      <c r="I706" s="36"/>
    </row>
    <row r="707" customFormat="false" ht="15" hidden="false" customHeight="false" outlineLevel="0" collapsed="false">
      <c r="A707" s="35"/>
      <c r="B707" s="36"/>
      <c r="C707" s="11" t="str">
        <f aca="false">IF(B707="","",IFERROR(INDEX(Leads!$C:$C,MATCH(B707,Leads!$A:$A,0)),"ID not found"))</f>
        <v/>
      </c>
      <c r="D707" s="11" t="str">
        <f aca="false">IF(B707="","",IFERROR(INDEX(Leads!$B:$B,MATCH(B707,Leads!$A:$A,0)),""))</f>
        <v/>
      </c>
      <c r="E707" s="36"/>
      <c r="F707" s="36"/>
      <c r="G707" s="36"/>
      <c r="H707" s="35"/>
      <c r="I707" s="36"/>
    </row>
    <row r="708" customFormat="false" ht="15" hidden="false" customHeight="false" outlineLevel="0" collapsed="false">
      <c r="A708" s="35"/>
      <c r="B708" s="36"/>
      <c r="C708" s="11" t="str">
        <f aca="false">IF(B708="","",IFERROR(INDEX(Leads!$C:$C,MATCH(B708,Leads!$A:$A,0)),"ID not found"))</f>
        <v/>
      </c>
      <c r="D708" s="11" t="str">
        <f aca="false">IF(B708="","",IFERROR(INDEX(Leads!$B:$B,MATCH(B708,Leads!$A:$A,0)),""))</f>
        <v/>
      </c>
      <c r="E708" s="36"/>
      <c r="F708" s="36"/>
      <c r="G708" s="36"/>
      <c r="H708" s="35"/>
      <c r="I708" s="36"/>
    </row>
    <row r="709" customFormat="false" ht="15" hidden="false" customHeight="false" outlineLevel="0" collapsed="false">
      <c r="A709" s="35"/>
      <c r="B709" s="36"/>
      <c r="C709" s="11" t="str">
        <f aca="false">IF(B709="","",IFERROR(INDEX(Leads!$C:$C,MATCH(B709,Leads!$A:$A,0)),"ID not found"))</f>
        <v/>
      </c>
      <c r="D709" s="11" t="str">
        <f aca="false">IF(B709="","",IFERROR(INDEX(Leads!$B:$B,MATCH(B709,Leads!$A:$A,0)),""))</f>
        <v/>
      </c>
      <c r="E709" s="36"/>
      <c r="F709" s="36"/>
      <c r="G709" s="36"/>
      <c r="H709" s="35"/>
      <c r="I709" s="36"/>
    </row>
    <row r="710" customFormat="false" ht="15" hidden="false" customHeight="false" outlineLevel="0" collapsed="false">
      <c r="A710" s="35"/>
      <c r="B710" s="36"/>
      <c r="C710" s="11" t="str">
        <f aca="false">IF(B710="","",IFERROR(INDEX(Leads!$C:$C,MATCH(B710,Leads!$A:$A,0)),"ID not found"))</f>
        <v/>
      </c>
      <c r="D710" s="11" t="str">
        <f aca="false">IF(B710="","",IFERROR(INDEX(Leads!$B:$B,MATCH(B710,Leads!$A:$A,0)),""))</f>
        <v/>
      </c>
      <c r="E710" s="36"/>
      <c r="F710" s="36"/>
      <c r="G710" s="36"/>
      <c r="H710" s="35"/>
      <c r="I710" s="36"/>
    </row>
    <row r="711" customFormat="false" ht="15" hidden="false" customHeight="false" outlineLevel="0" collapsed="false">
      <c r="A711" s="35"/>
      <c r="B711" s="36"/>
      <c r="C711" s="11" t="str">
        <f aca="false">IF(B711="","",IFERROR(INDEX(Leads!$C:$C,MATCH(B711,Leads!$A:$A,0)),"ID not found"))</f>
        <v/>
      </c>
      <c r="D711" s="11" t="str">
        <f aca="false">IF(B711="","",IFERROR(INDEX(Leads!$B:$B,MATCH(B711,Leads!$A:$A,0)),""))</f>
        <v/>
      </c>
      <c r="E711" s="36"/>
      <c r="F711" s="36"/>
      <c r="G711" s="36"/>
      <c r="H711" s="35"/>
      <c r="I711" s="36"/>
    </row>
    <row r="712" customFormat="false" ht="15" hidden="false" customHeight="false" outlineLevel="0" collapsed="false">
      <c r="A712" s="35"/>
      <c r="B712" s="36"/>
      <c r="C712" s="11" t="str">
        <f aca="false">IF(B712="","",IFERROR(INDEX(Leads!$C:$C,MATCH(B712,Leads!$A:$A,0)),"ID not found"))</f>
        <v/>
      </c>
      <c r="D712" s="11" t="str">
        <f aca="false">IF(B712="","",IFERROR(INDEX(Leads!$B:$B,MATCH(B712,Leads!$A:$A,0)),""))</f>
        <v/>
      </c>
      <c r="E712" s="36"/>
      <c r="F712" s="36"/>
      <c r="G712" s="36"/>
      <c r="H712" s="35"/>
      <c r="I712" s="36"/>
    </row>
    <row r="713" customFormat="false" ht="15" hidden="false" customHeight="false" outlineLevel="0" collapsed="false">
      <c r="A713" s="35"/>
      <c r="B713" s="36"/>
      <c r="C713" s="11" t="str">
        <f aca="false">IF(B713="","",IFERROR(INDEX(Leads!$C:$C,MATCH(B713,Leads!$A:$A,0)),"ID not found"))</f>
        <v/>
      </c>
      <c r="D713" s="11" t="str">
        <f aca="false">IF(B713="","",IFERROR(INDEX(Leads!$B:$B,MATCH(B713,Leads!$A:$A,0)),""))</f>
        <v/>
      </c>
      <c r="E713" s="36"/>
      <c r="F713" s="36"/>
      <c r="G713" s="36"/>
      <c r="H713" s="35"/>
      <c r="I713" s="36"/>
    </row>
    <row r="714" customFormat="false" ht="15" hidden="false" customHeight="false" outlineLevel="0" collapsed="false">
      <c r="A714" s="35"/>
      <c r="B714" s="36"/>
      <c r="C714" s="11" t="str">
        <f aca="false">IF(B714="","",IFERROR(INDEX(Leads!$C:$C,MATCH(B714,Leads!$A:$A,0)),"ID not found"))</f>
        <v/>
      </c>
      <c r="D714" s="11" t="str">
        <f aca="false">IF(B714="","",IFERROR(INDEX(Leads!$B:$B,MATCH(B714,Leads!$A:$A,0)),""))</f>
        <v/>
      </c>
      <c r="E714" s="36"/>
      <c r="F714" s="36"/>
      <c r="G714" s="36"/>
      <c r="H714" s="35"/>
      <c r="I714" s="36"/>
    </row>
    <row r="715" customFormat="false" ht="15" hidden="false" customHeight="false" outlineLevel="0" collapsed="false">
      <c r="A715" s="35"/>
      <c r="B715" s="36"/>
      <c r="C715" s="11" t="str">
        <f aca="false">IF(B715="","",IFERROR(INDEX(Leads!$C:$C,MATCH(B715,Leads!$A:$A,0)),"ID not found"))</f>
        <v/>
      </c>
      <c r="D715" s="11" t="str">
        <f aca="false">IF(B715="","",IFERROR(INDEX(Leads!$B:$B,MATCH(B715,Leads!$A:$A,0)),""))</f>
        <v/>
      </c>
      <c r="E715" s="36"/>
      <c r="F715" s="36"/>
      <c r="G715" s="36"/>
      <c r="H715" s="35"/>
      <c r="I715" s="36"/>
    </row>
    <row r="716" customFormat="false" ht="15" hidden="false" customHeight="false" outlineLevel="0" collapsed="false">
      <c r="A716" s="35"/>
      <c r="B716" s="36"/>
      <c r="C716" s="11" t="str">
        <f aca="false">IF(B716="","",IFERROR(INDEX(Leads!$C:$C,MATCH(B716,Leads!$A:$A,0)),"ID not found"))</f>
        <v/>
      </c>
      <c r="D716" s="11" t="str">
        <f aca="false">IF(B716="","",IFERROR(INDEX(Leads!$B:$B,MATCH(B716,Leads!$A:$A,0)),""))</f>
        <v/>
      </c>
      <c r="E716" s="36"/>
      <c r="F716" s="36"/>
      <c r="G716" s="36"/>
      <c r="H716" s="35"/>
      <c r="I716" s="36"/>
    </row>
    <row r="717" customFormat="false" ht="15" hidden="false" customHeight="false" outlineLevel="0" collapsed="false">
      <c r="A717" s="35"/>
      <c r="B717" s="36"/>
      <c r="C717" s="11" t="str">
        <f aca="false">IF(B717="","",IFERROR(INDEX(Leads!$C:$C,MATCH(B717,Leads!$A:$A,0)),"ID not found"))</f>
        <v/>
      </c>
      <c r="D717" s="11" t="str">
        <f aca="false">IF(B717="","",IFERROR(INDEX(Leads!$B:$B,MATCH(B717,Leads!$A:$A,0)),""))</f>
        <v/>
      </c>
      <c r="E717" s="36"/>
      <c r="F717" s="36"/>
      <c r="G717" s="36"/>
      <c r="H717" s="35"/>
      <c r="I717" s="36"/>
    </row>
    <row r="718" customFormat="false" ht="15" hidden="false" customHeight="false" outlineLevel="0" collapsed="false">
      <c r="A718" s="35"/>
      <c r="B718" s="36"/>
      <c r="C718" s="11" t="str">
        <f aca="false">IF(B718="","",IFERROR(INDEX(Leads!$C:$C,MATCH(B718,Leads!$A:$A,0)),"ID not found"))</f>
        <v/>
      </c>
      <c r="D718" s="11" t="str">
        <f aca="false">IF(B718="","",IFERROR(INDEX(Leads!$B:$B,MATCH(B718,Leads!$A:$A,0)),""))</f>
        <v/>
      </c>
      <c r="E718" s="36"/>
      <c r="F718" s="36"/>
      <c r="G718" s="36"/>
      <c r="H718" s="35"/>
      <c r="I718" s="36"/>
    </row>
    <row r="719" customFormat="false" ht="15" hidden="false" customHeight="false" outlineLevel="0" collapsed="false">
      <c r="A719" s="35"/>
      <c r="B719" s="36"/>
      <c r="C719" s="11" t="str">
        <f aca="false">IF(B719="","",IFERROR(INDEX(Leads!$C:$C,MATCH(B719,Leads!$A:$A,0)),"ID not found"))</f>
        <v/>
      </c>
      <c r="D719" s="11" t="str">
        <f aca="false">IF(B719="","",IFERROR(INDEX(Leads!$B:$B,MATCH(B719,Leads!$A:$A,0)),""))</f>
        <v/>
      </c>
      <c r="E719" s="36"/>
      <c r="F719" s="36"/>
      <c r="G719" s="36"/>
      <c r="H719" s="35"/>
      <c r="I719" s="36"/>
    </row>
    <row r="720" customFormat="false" ht="15" hidden="false" customHeight="false" outlineLevel="0" collapsed="false">
      <c r="A720" s="35"/>
      <c r="B720" s="36"/>
      <c r="C720" s="11" t="str">
        <f aca="false">IF(B720="","",IFERROR(INDEX(Leads!$C:$C,MATCH(B720,Leads!$A:$A,0)),"ID not found"))</f>
        <v/>
      </c>
      <c r="D720" s="11" t="str">
        <f aca="false">IF(B720="","",IFERROR(INDEX(Leads!$B:$B,MATCH(B720,Leads!$A:$A,0)),""))</f>
        <v/>
      </c>
      <c r="E720" s="36"/>
      <c r="F720" s="36"/>
      <c r="G720" s="36"/>
      <c r="H720" s="35"/>
      <c r="I720" s="36"/>
    </row>
    <row r="721" customFormat="false" ht="15" hidden="false" customHeight="false" outlineLevel="0" collapsed="false">
      <c r="A721" s="35"/>
      <c r="B721" s="36"/>
      <c r="C721" s="11" t="str">
        <f aca="false">IF(B721="","",IFERROR(INDEX(Leads!$C:$C,MATCH(B721,Leads!$A:$A,0)),"ID not found"))</f>
        <v/>
      </c>
      <c r="D721" s="11" t="str">
        <f aca="false">IF(B721="","",IFERROR(INDEX(Leads!$B:$B,MATCH(B721,Leads!$A:$A,0)),""))</f>
        <v/>
      </c>
      <c r="E721" s="36"/>
      <c r="F721" s="36"/>
      <c r="G721" s="36"/>
      <c r="H721" s="35"/>
      <c r="I721" s="36"/>
    </row>
    <row r="722" customFormat="false" ht="15" hidden="false" customHeight="false" outlineLevel="0" collapsed="false">
      <c r="A722" s="35"/>
      <c r="B722" s="36"/>
      <c r="C722" s="11" t="str">
        <f aca="false">IF(B722="","",IFERROR(INDEX(Leads!$C:$C,MATCH(B722,Leads!$A:$A,0)),"ID not found"))</f>
        <v/>
      </c>
      <c r="D722" s="11" t="str">
        <f aca="false">IF(B722="","",IFERROR(INDEX(Leads!$B:$B,MATCH(B722,Leads!$A:$A,0)),""))</f>
        <v/>
      </c>
      <c r="E722" s="36"/>
      <c r="F722" s="36"/>
      <c r="G722" s="36"/>
      <c r="H722" s="35"/>
      <c r="I722" s="36"/>
    </row>
    <row r="723" customFormat="false" ht="15" hidden="false" customHeight="false" outlineLevel="0" collapsed="false">
      <c r="A723" s="35"/>
      <c r="B723" s="36"/>
      <c r="C723" s="11" t="str">
        <f aca="false">IF(B723="","",IFERROR(INDEX(Leads!$C:$C,MATCH(B723,Leads!$A:$A,0)),"ID not found"))</f>
        <v/>
      </c>
      <c r="D723" s="11" t="str">
        <f aca="false">IF(B723="","",IFERROR(INDEX(Leads!$B:$B,MATCH(B723,Leads!$A:$A,0)),""))</f>
        <v/>
      </c>
      <c r="E723" s="36"/>
      <c r="F723" s="36"/>
      <c r="G723" s="36"/>
      <c r="H723" s="35"/>
      <c r="I723" s="36"/>
    </row>
    <row r="724" customFormat="false" ht="15" hidden="false" customHeight="false" outlineLevel="0" collapsed="false">
      <c r="A724" s="35"/>
      <c r="B724" s="36"/>
      <c r="C724" s="11" t="str">
        <f aca="false">IF(B724="","",IFERROR(INDEX(Leads!$C:$C,MATCH(B724,Leads!$A:$A,0)),"ID not found"))</f>
        <v/>
      </c>
      <c r="D724" s="11" t="str">
        <f aca="false">IF(B724="","",IFERROR(INDEX(Leads!$B:$B,MATCH(B724,Leads!$A:$A,0)),""))</f>
        <v/>
      </c>
      <c r="E724" s="36"/>
      <c r="F724" s="36"/>
      <c r="G724" s="36"/>
      <c r="H724" s="35"/>
      <c r="I724" s="36"/>
    </row>
    <row r="725" customFormat="false" ht="15" hidden="false" customHeight="false" outlineLevel="0" collapsed="false">
      <c r="A725" s="35"/>
      <c r="B725" s="36"/>
      <c r="C725" s="11" t="str">
        <f aca="false">IF(B725="","",IFERROR(INDEX(Leads!$C:$C,MATCH(B725,Leads!$A:$A,0)),"ID not found"))</f>
        <v/>
      </c>
      <c r="D725" s="11" t="str">
        <f aca="false">IF(B725="","",IFERROR(INDEX(Leads!$B:$B,MATCH(B725,Leads!$A:$A,0)),""))</f>
        <v/>
      </c>
      <c r="E725" s="36"/>
      <c r="F725" s="36"/>
      <c r="G725" s="36"/>
      <c r="H725" s="35"/>
      <c r="I725" s="36"/>
    </row>
    <row r="726" customFormat="false" ht="15" hidden="false" customHeight="false" outlineLevel="0" collapsed="false">
      <c r="A726" s="35"/>
      <c r="B726" s="36"/>
      <c r="C726" s="11" t="str">
        <f aca="false">IF(B726="","",IFERROR(INDEX(Leads!$C:$C,MATCH(B726,Leads!$A:$A,0)),"ID not found"))</f>
        <v/>
      </c>
      <c r="D726" s="11" t="str">
        <f aca="false">IF(B726="","",IFERROR(INDEX(Leads!$B:$B,MATCH(B726,Leads!$A:$A,0)),""))</f>
        <v/>
      </c>
      <c r="E726" s="36"/>
      <c r="F726" s="36"/>
      <c r="G726" s="36"/>
      <c r="H726" s="35"/>
      <c r="I726" s="36"/>
    </row>
    <row r="727" customFormat="false" ht="15" hidden="false" customHeight="false" outlineLevel="0" collapsed="false">
      <c r="A727" s="35"/>
      <c r="B727" s="36"/>
      <c r="C727" s="11" t="str">
        <f aca="false">IF(B727="","",IFERROR(INDEX(Leads!$C:$C,MATCH(B727,Leads!$A:$A,0)),"ID not found"))</f>
        <v/>
      </c>
      <c r="D727" s="11" t="str">
        <f aca="false">IF(B727="","",IFERROR(INDEX(Leads!$B:$B,MATCH(B727,Leads!$A:$A,0)),""))</f>
        <v/>
      </c>
      <c r="E727" s="36"/>
      <c r="F727" s="36"/>
      <c r="G727" s="36"/>
      <c r="H727" s="35"/>
      <c r="I727" s="36"/>
    </row>
    <row r="728" customFormat="false" ht="15" hidden="false" customHeight="false" outlineLevel="0" collapsed="false">
      <c r="A728" s="35"/>
      <c r="B728" s="36"/>
      <c r="C728" s="11" t="str">
        <f aca="false">IF(B728="","",IFERROR(INDEX(Leads!$C:$C,MATCH(B728,Leads!$A:$A,0)),"ID not found"))</f>
        <v/>
      </c>
      <c r="D728" s="11" t="str">
        <f aca="false">IF(B728="","",IFERROR(INDEX(Leads!$B:$B,MATCH(B728,Leads!$A:$A,0)),""))</f>
        <v/>
      </c>
      <c r="E728" s="36"/>
      <c r="F728" s="36"/>
      <c r="G728" s="36"/>
      <c r="H728" s="35"/>
      <c r="I728" s="36"/>
    </row>
    <row r="729" customFormat="false" ht="15" hidden="false" customHeight="false" outlineLevel="0" collapsed="false">
      <c r="A729" s="35"/>
      <c r="B729" s="36"/>
      <c r="C729" s="11" t="str">
        <f aca="false">IF(B729="","",IFERROR(INDEX(Leads!$C:$C,MATCH(B729,Leads!$A:$A,0)),"ID not found"))</f>
        <v/>
      </c>
      <c r="D729" s="11" t="str">
        <f aca="false">IF(B729="","",IFERROR(INDEX(Leads!$B:$B,MATCH(B729,Leads!$A:$A,0)),""))</f>
        <v/>
      </c>
      <c r="E729" s="36"/>
      <c r="F729" s="36"/>
      <c r="G729" s="36"/>
      <c r="H729" s="35"/>
      <c r="I729" s="36"/>
    </row>
    <row r="730" customFormat="false" ht="15" hidden="false" customHeight="false" outlineLevel="0" collapsed="false">
      <c r="A730" s="35"/>
      <c r="B730" s="36"/>
      <c r="C730" s="11" t="str">
        <f aca="false">IF(B730="","",IFERROR(INDEX(Leads!$C:$C,MATCH(B730,Leads!$A:$A,0)),"ID not found"))</f>
        <v/>
      </c>
      <c r="D730" s="11" t="str">
        <f aca="false">IF(B730="","",IFERROR(INDEX(Leads!$B:$B,MATCH(B730,Leads!$A:$A,0)),""))</f>
        <v/>
      </c>
      <c r="E730" s="36"/>
      <c r="F730" s="36"/>
      <c r="G730" s="36"/>
      <c r="H730" s="35"/>
      <c r="I730" s="36"/>
    </row>
    <row r="731" customFormat="false" ht="15" hidden="false" customHeight="false" outlineLevel="0" collapsed="false">
      <c r="A731" s="35"/>
      <c r="B731" s="36"/>
      <c r="C731" s="11" t="str">
        <f aca="false">IF(B731="","",IFERROR(INDEX(Leads!$C:$C,MATCH(B731,Leads!$A:$A,0)),"ID not found"))</f>
        <v/>
      </c>
      <c r="D731" s="11" t="str">
        <f aca="false">IF(B731="","",IFERROR(INDEX(Leads!$B:$B,MATCH(B731,Leads!$A:$A,0)),""))</f>
        <v/>
      </c>
      <c r="E731" s="36"/>
      <c r="F731" s="36"/>
      <c r="G731" s="36"/>
      <c r="H731" s="35"/>
      <c r="I731" s="36"/>
    </row>
    <row r="732" customFormat="false" ht="15" hidden="false" customHeight="false" outlineLevel="0" collapsed="false">
      <c r="A732" s="35"/>
      <c r="B732" s="36"/>
      <c r="C732" s="11" t="str">
        <f aca="false">IF(B732="","",IFERROR(INDEX(Leads!$C:$C,MATCH(B732,Leads!$A:$A,0)),"ID not found"))</f>
        <v/>
      </c>
      <c r="D732" s="11" t="str">
        <f aca="false">IF(B732="","",IFERROR(INDEX(Leads!$B:$B,MATCH(B732,Leads!$A:$A,0)),""))</f>
        <v/>
      </c>
      <c r="E732" s="36"/>
      <c r="F732" s="36"/>
      <c r="G732" s="36"/>
      <c r="H732" s="35"/>
      <c r="I732" s="36"/>
    </row>
    <row r="733" customFormat="false" ht="15" hidden="false" customHeight="false" outlineLevel="0" collapsed="false">
      <c r="A733" s="35"/>
      <c r="B733" s="36"/>
      <c r="C733" s="11" t="str">
        <f aca="false">IF(B733="","",IFERROR(INDEX(Leads!$C:$C,MATCH(B733,Leads!$A:$A,0)),"ID not found"))</f>
        <v/>
      </c>
      <c r="D733" s="11" t="str">
        <f aca="false">IF(B733="","",IFERROR(INDEX(Leads!$B:$B,MATCH(B733,Leads!$A:$A,0)),""))</f>
        <v/>
      </c>
      <c r="E733" s="36"/>
      <c r="F733" s="36"/>
      <c r="G733" s="36"/>
      <c r="H733" s="35"/>
      <c r="I733" s="36"/>
    </row>
    <row r="734" customFormat="false" ht="15" hidden="false" customHeight="false" outlineLevel="0" collapsed="false">
      <c r="A734" s="35"/>
      <c r="B734" s="36"/>
      <c r="C734" s="11" t="str">
        <f aca="false">IF(B734="","",IFERROR(INDEX(Leads!$C:$C,MATCH(B734,Leads!$A:$A,0)),"ID not found"))</f>
        <v/>
      </c>
      <c r="D734" s="11" t="str">
        <f aca="false">IF(B734="","",IFERROR(INDEX(Leads!$B:$B,MATCH(B734,Leads!$A:$A,0)),""))</f>
        <v/>
      </c>
      <c r="E734" s="36"/>
      <c r="F734" s="36"/>
      <c r="G734" s="36"/>
      <c r="H734" s="35"/>
      <c r="I734" s="36"/>
    </row>
    <row r="735" customFormat="false" ht="15" hidden="false" customHeight="false" outlineLevel="0" collapsed="false">
      <c r="A735" s="35"/>
      <c r="B735" s="36"/>
      <c r="C735" s="11" t="str">
        <f aca="false">IF(B735="","",IFERROR(INDEX(Leads!$C:$C,MATCH(B735,Leads!$A:$A,0)),"ID not found"))</f>
        <v/>
      </c>
      <c r="D735" s="11" t="str">
        <f aca="false">IF(B735="","",IFERROR(INDEX(Leads!$B:$B,MATCH(B735,Leads!$A:$A,0)),""))</f>
        <v/>
      </c>
      <c r="E735" s="36"/>
      <c r="F735" s="36"/>
      <c r="G735" s="36"/>
      <c r="H735" s="35"/>
      <c r="I735" s="36"/>
    </row>
    <row r="736" customFormat="false" ht="15" hidden="false" customHeight="false" outlineLevel="0" collapsed="false">
      <c r="A736" s="35"/>
      <c r="B736" s="36"/>
      <c r="C736" s="11" t="str">
        <f aca="false">IF(B736="","",IFERROR(INDEX(Leads!$C:$C,MATCH(B736,Leads!$A:$A,0)),"ID not found"))</f>
        <v/>
      </c>
      <c r="D736" s="11" t="str">
        <f aca="false">IF(B736="","",IFERROR(INDEX(Leads!$B:$B,MATCH(B736,Leads!$A:$A,0)),""))</f>
        <v/>
      </c>
      <c r="E736" s="36"/>
      <c r="F736" s="36"/>
      <c r="G736" s="36"/>
      <c r="H736" s="35"/>
      <c r="I736" s="36"/>
    </row>
    <row r="737" customFormat="false" ht="15" hidden="false" customHeight="false" outlineLevel="0" collapsed="false">
      <c r="A737" s="35"/>
      <c r="B737" s="36"/>
      <c r="C737" s="11" t="str">
        <f aca="false">IF(B737="","",IFERROR(INDEX(Leads!$C:$C,MATCH(B737,Leads!$A:$A,0)),"ID not found"))</f>
        <v/>
      </c>
      <c r="D737" s="11" t="str">
        <f aca="false">IF(B737="","",IFERROR(INDEX(Leads!$B:$B,MATCH(B737,Leads!$A:$A,0)),""))</f>
        <v/>
      </c>
      <c r="E737" s="36"/>
      <c r="F737" s="36"/>
      <c r="G737" s="36"/>
      <c r="H737" s="35"/>
      <c r="I737" s="36"/>
    </row>
    <row r="738" customFormat="false" ht="15" hidden="false" customHeight="false" outlineLevel="0" collapsed="false">
      <c r="A738" s="35"/>
      <c r="B738" s="36"/>
      <c r="C738" s="11" t="str">
        <f aca="false">IF(B738="","",IFERROR(INDEX(Leads!$C:$C,MATCH(B738,Leads!$A:$A,0)),"ID not found"))</f>
        <v/>
      </c>
      <c r="D738" s="11" t="str">
        <f aca="false">IF(B738="","",IFERROR(INDEX(Leads!$B:$B,MATCH(B738,Leads!$A:$A,0)),""))</f>
        <v/>
      </c>
      <c r="E738" s="36"/>
      <c r="F738" s="36"/>
      <c r="G738" s="36"/>
      <c r="H738" s="35"/>
      <c r="I738" s="36"/>
    </row>
    <row r="739" customFormat="false" ht="15" hidden="false" customHeight="false" outlineLevel="0" collapsed="false">
      <c r="A739" s="35"/>
      <c r="B739" s="36"/>
      <c r="C739" s="11" t="str">
        <f aca="false">IF(B739="","",IFERROR(INDEX(Leads!$C:$C,MATCH(B739,Leads!$A:$A,0)),"ID not found"))</f>
        <v/>
      </c>
      <c r="D739" s="11" t="str">
        <f aca="false">IF(B739="","",IFERROR(INDEX(Leads!$B:$B,MATCH(B739,Leads!$A:$A,0)),""))</f>
        <v/>
      </c>
      <c r="E739" s="36"/>
      <c r="F739" s="36"/>
      <c r="G739" s="36"/>
      <c r="H739" s="35"/>
      <c r="I739" s="36"/>
    </row>
    <row r="740" customFormat="false" ht="15" hidden="false" customHeight="false" outlineLevel="0" collapsed="false">
      <c r="A740" s="35"/>
      <c r="B740" s="36"/>
      <c r="C740" s="11" t="str">
        <f aca="false">IF(B740="","",IFERROR(INDEX(Leads!$C:$C,MATCH(B740,Leads!$A:$A,0)),"ID not found"))</f>
        <v/>
      </c>
      <c r="D740" s="11" t="str">
        <f aca="false">IF(B740="","",IFERROR(INDEX(Leads!$B:$B,MATCH(B740,Leads!$A:$A,0)),""))</f>
        <v/>
      </c>
      <c r="E740" s="36"/>
      <c r="F740" s="36"/>
      <c r="G740" s="36"/>
      <c r="H740" s="35"/>
      <c r="I740" s="36"/>
    </row>
    <row r="741" customFormat="false" ht="15" hidden="false" customHeight="false" outlineLevel="0" collapsed="false">
      <c r="A741" s="35"/>
      <c r="B741" s="36"/>
      <c r="C741" s="11" t="str">
        <f aca="false">IF(B741="","",IFERROR(INDEX(Leads!$C:$C,MATCH(B741,Leads!$A:$A,0)),"ID not found"))</f>
        <v/>
      </c>
      <c r="D741" s="11" t="str">
        <f aca="false">IF(B741="","",IFERROR(INDEX(Leads!$B:$B,MATCH(B741,Leads!$A:$A,0)),""))</f>
        <v/>
      </c>
      <c r="E741" s="36"/>
      <c r="F741" s="36"/>
      <c r="G741" s="36"/>
      <c r="H741" s="35"/>
      <c r="I741" s="36"/>
    </row>
    <row r="742" customFormat="false" ht="15" hidden="false" customHeight="false" outlineLevel="0" collapsed="false">
      <c r="A742" s="35"/>
      <c r="B742" s="36"/>
      <c r="C742" s="11" t="str">
        <f aca="false">IF(B742="","",IFERROR(INDEX(Leads!$C:$C,MATCH(B742,Leads!$A:$A,0)),"ID not found"))</f>
        <v/>
      </c>
      <c r="D742" s="11" t="str">
        <f aca="false">IF(B742="","",IFERROR(INDEX(Leads!$B:$B,MATCH(B742,Leads!$A:$A,0)),""))</f>
        <v/>
      </c>
      <c r="E742" s="36"/>
      <c r="F742" s="36"/>
      <c r="G742" s="36"/>
      <c r="H742" s="35"/>
      <c r="I742" s="36"/>
    </row>
    <row r="743" customFormat="false" ht="15" hidden="false" customHeight="false" outlineLevel="0" collapsed="false">
      <c r="A743" s="35"/>
      <c r="B743" s="36"/>
      <c r="C743" s="11" t="str">
        <f aca="false">IF(B743="","",IFERROR(INDEX(Leads!$C:$C,MATCH(B743,Leads!$A:$A,0)),"ID not found"))</f>
        <v/>
      </c>
      <c r="D743" s="11" t="str">
        <f aca="false">IF(B743="","",IFERROR(INDEX(Leads!$B:$B,MATCH(B743,Leads!$A:$A,0)),""))</f>
        <v/>
      </c>
      <c r="E743" s="36"/>
      <c r="F743" s="36"/>
      <c r="G743" s="36"/>
      <c r="H743" s="35"/>
      <c r="I743" s="36"/>
    </row>
    <row r="744" customFormat="false" ht="15" hidden="false" customHeight="false" outlineLevel="0" collapsed="false">
      <c r="A744" s="35"/>
      <c r="B744" s="36"/>
      <c r="C744" s="11" t="str">
        <f aca="false">IF(B744="","",IFERROR(INDEX(Leads!$C:$C,MATCH(B744,Leads!$A:$A,0)),"ID not found"))</f>
        <v/>
      </c>
      <c r="D744" s="11" t="str">
        <f aca="false">IF(B744="","",IFERROR(INDEX(Leads!$B:$B,MATCH(B744,Leads!$A:$A,0)),""))</f>
        <v/>
      </c>
      <c r="E744" s="36"/>
      <c r="F744" s="36"/>
      <c r="G744" s="36"/>
      <c r="H744" s="35"/>
      <c r="I744" s="36"/>
    </row>
    <row r="745" customFormat="false" ht="15" hidden="false" customHeight="false" outlineLevel="0" collapsed="false">
      <c r="A745" s="35"/>
      <c r="B745" s="36"/>
      <c r="C745" s="11" t="str">
        <f aca="false">IF(B745="","",IFERROR(INDEX(Leads!$C:$C,MATCH(B745,Leads!$A:$A,0)),"ID not found"))</f>
        <v/>
      </c>
      <c r="D745" s="11" t="str">
        <f aca="false">IF(B745="","",IFERROR(INDEX(Leads!$B:$B,MATCH(B745,Leads!$A:$A,0)),""))</f>
        <v/>
      </c>
      <c r="E745" s="36"/>
      <c r="F745" s="36"/>
      <c r="G745" s="36"/>
      <c r="H745" s="35"/>
      <c r="I745" s="36"/>
    </row>
    <row r="746" customFormat="false" ht="15" hidden="false" customHeight="false" outlineLevel="0" collapsed="false">
      <c r="A746" s="35"/>
      <c r="B746" s="36"/>
      <c r="C746" s="11" t="str">
        <f aca="false">IF(B746="","",IFERROR(INDEX(Leads!$C:$C,MATCH(B746,Leads!$A:$A,0)),"ID not found"))</f>
        <v/>
      </c>
      <c r="D746" s="11" t="str">
        <f aca="false">IF(B746="","",IFERROR(INDEX(Leads!$B:$B,MATCH(B746,Leads!$A:$A,0)),""))</f>
        <v/>
      </c>
      <c r="E746" s="36"/>
      <c r="F746" s="36"/>
      <c r="G746" s="36"/>
      <c r="H746" s="35"/>
      <c r="I746" s="36"/>
    </row>
    <row r="747" customFormat="false" ht="15" hidden="false" customHeight="false" outlineLevel="0" collapsed="false">
      <c r="A747" s="35"/>
      <c r="B747" s="36"/>
      <c r="C747" s="11" t="str">
        <f aca="false">IF(B747="","",IFERROR(INDEX(Leads!$C:$C,MATCH(B747,Leads!$A:$A,0)),"ID not found"))</f>
        <v/>
      </c>
      <c r="D747" s="11" t="str">
        <f aca="false">IF(B747="","",IFERROR(INDEX(Leads!$B:$B,MATCH(B747,Leads!$A:$A,0)),""))</f>
        <v/>
      </c>
      <c r="E747" s="36"/>
      <c r="F747" s="36"/>
      <c r="G747" s="36"/>
      <c r="H747" s="35"/>
      <c r="I747" s="36"/>
    </row>
    <row r="748" customFormat="false" ht="15" hidden="false" customHeight="false" outlineLevel="0" collapsed="false">
      <c r="A748" s="35"/>
      <c r="B748" s="36"/>
      <c r="C748" s="11" t="str">
        <f aca="false">IF(B748="","",IFERROR(INDEX(Leads!$C:$C,MATCH(B748,Leads!$A:$A,0)),"ID not found"))</f>
        <v/>
      </c>
      <c r="D748" s="11" t="str">
        <f aca="false">IF(B748="","",IFERROR(INDEX(Leads!$B:$B,MATCH(B748,Leads!$A:$A,0)),""))</f>
        <v/>
      </c>
      <c r="E748" s="36"/>
      <c r="F748" s="36"/>
      <c r="G748" s="36"/>
      <c r="H748" s="35"/>
      <c r="I748" s="36"/>
    </row>
    <row r="749" customFormat="false" ht="15" hidden="false" customHeight="false" outlineLevel="0" collapsed="false">
      <c r="A749" s="35"/>
      <c r="B749" s="36"/>
      <c r="C749" s="11" t="str">
        <f aca="false">IF(B749="","",IFERROR(INDEX(Leads!$C:$C,MATCH(B749,Leads!$A:$A,0)),"ID not found"))</f>
        <v/>
      </c>
      <c r="D749" s="11" t="str">
        <f aca="false">IF(B749="","",IFERROR(INDEX(Leads!$B:$B,MATCH(B749,Leads!$A:$A,0)),""))</f>
        <v/>
      </c>
      <c r="E749" s="36"/>
      <c r="F749" s="36"/>
      <c r="G749" s="36"/>
      <c r="H749" s="35"/>
      <c r="I749" s="36"/>
    </row>
    <row r="750" customFormat="false" ht="15" hidden="false" customHeight="false" outlineLevel="0" collapsed="false">
      <c r="A750" s="35"/>
      <c r="B750" s="36"/>
      <c r="C750" s="11" t="str">
        <f aca="false">IF(B750="","",IFERROR(INDEX(Leads!$C:$C,MATCH(B750,Leads!$A:$A,0)),"ID not found"))</f>
        <v/>
      </c>
      <c r="D750" s="11" t="str">
        <f aca="false">IF(B750="","",IFERROR(INDEX(Leads!$B:$B,MATCH(B750,Leads!$A:$A,0)),""))</f>
        <v/>
      </c>
      <c r="E750" s="36"/>
      <c r="F750" s="36"/>
      <c r="G750" s="36"/>
      <c r="H750" s="35"/>
      <c r="I750" s="36"/>
    </row>
    <row r="751" customFormat="false" ht="15" hidden="false" customHeight="false" outlineLevel="0" collapsed="false">
      <c r="A751" s="35"/>
      <c r="B751" s="36"/>
      <c r="C751" s="11" t="str">
        <f aca="false">IF(B751="","",IFERROR(INDEX(Leads!$C:$C,MATCH(B751,Leads!$A:$A,0)),"ID not found"))</f>
        <v/>
      </c>
      <c r="D751" s="11" t="str">
        <f aca="false">IF(B751="","",IFERROR(INDEX(Leads!$B:$B,MATCH(B751,Leads!$A:$A,0)),""))</f>
        <v/>
      </c>
      <c r="E751" s="36"/>
      <c r="F751" s="36"/>
      <c r="G751" s="36"/>
      <c r="H751" s="35"/>
      <c r="I751" s="36"/>
    </row>
    <row r="752" customFormat="false" ht="15" hidden="false" customHeight="false" outlineLevel="0" collapsed="false">
      <c r="A752" s="35"/>
      <c r="B752" s="36"/>
      <c r="C752" s="11" t="str">
        <f aca="false">IF(B752="","",IFERROR(INDEX(Leads!$C:$C,MATCH(B752,Leads!$A:$A,0)),"ID not found"))</f>
        <v/>
      </c>
      <c r="D752" s="11" t="str">
        <f aca="false">IF(B752="","",IFERROR(INDEX(Leads!$B:$B,MATCH(B752,Leads!$A:$A,0)),""))</f>
        <v/>
      </c>
      <c r="E752" s="36"/>
      <c r="F752" s="36"/>
      <c r="G752" s="36"/>
      <c r="H752" s="35"/>
      <c r="I752" s="36"/>
    </row>
    <row r="753" customFormat="false" ht="15" hidden="false" customHeight="false" outlineLevel="0" collapsed="false">
      <c r="A753" s="35"/>
      <c r="B753" s="36"/>
      <c r="C753" s="11" t="str">
        <f aca="false">IF(B753="","",IFERROR(INDEX(Leads!$C:$C,MATCH(B753,Leads!$A:$A,0)),"ID not found"))</f>
        <v/>
      </c>
      <c r="D753" s="11" t="str">
        <f aca="false">IF(B753="","",IFERROR(INDEX(Leads!$B:$B,MATCH(B753,Leads!$A:$A,0)),""))</f>
        <v/>
      </c>
      <c r="E753" s="36"/>
      <c r="F753" s="36"/>
      <c r="G753" s="36"/>
      <c r="H753" s="35"/>
      <c r="I753" s="36"/>
    </row>
    <row r="754" customFormat="false" ht="15" hidden="false" customHeight="false" outlineLevel="0" collapsed="false">
      <c r="A754" s="35"/>
      <c r="B754" s="36"/>
      <c r="C754" s="11" t="str">
        <f aca="false">IF(B754="","",IFERROR(INDEX(Leads!$C:$C,MATCH(B754,Leads!$A:$A,0)),"ID not found"))</f>
        <v/>
      </c>
      <c r="D754" s="11" t="str">
        <f aca="false">IF(B754="","",IFERROR(INDEX(Leads!$B:$B,MATCH(B754,Leads!$A:$A,0)),""))</f>
        <v/>
      </c>
      <c r="E754" s="36"/>
      <c r="F754" s="36"/>
      <c r="G754" s="36"/>
      <c r="H754" s="35"/>
      <c r="I754" s="36"/>
    </row>
    <row r="755" customFormat="false" ht="15" hidden="false" customHeight="false" outlineLevel="0" collapsed="false">
      <c r="A755" s="35"/>
      <c r="B755" s="36"/>
      <c r="C755" s="11" t="str">
        <f aca="false">IF(B755="","",IFERROR(INDEX(Leads!$C:$C,MATCH(B755,Leads!$A:$A,0)),"ID not found"))</f>
        <v/>
      </c>
      <c r="D755" s="11" t="str">
        <f aca="false">IF(B755="","",IFERROR(INDEX(Leads!$B:$B,MATCH(B755,Leads!$A:$A,0)),""))</f>
        <v/>
      </c>
      <c r="E755" s="36"/>
      <c r="F755" s="36"/>
      <c r="G755" s="36"/>
      <c r="H755" s="35"/>
      <c r="I755" s="36"/>
    </row>
    <row r="756" customFormat="false" ht="15" hidden="false" customHeight="false" outlineLevel="0" collapsed="false">
      <c r="A756" s="35"/>
      <c r="B756" s="36"/>
      <c r="C756" s="11" t="str">
        <f aca="false">IF(B756="","",IFERROR(INDEX(Leads!$C:$C,MATCH(B756,Leads!$A:$A,0)),"ID not found"))</f>
        <v/>
      </c>
      <c r="D756" s="11" t="str">
        <f aca="false">IF(B756="","",IFERROR(INDEX(Leads!$B:$B,MATCH(B756,Leads!$A:$A,0)),""))</f>
        <v/>
      </c>
      <c r="E756" s="36"/>
      <c r="F756" s="36"/>
      <c r="G756" s="36"/>
      <c r="H756" s="35"/>
      <c r="I756" s="36"/>
    </row>
    <row r="757" customFormat="false" ht="15" hidden="false" customHeight="false" outlineLevel="0" collapsed="false">
      <c r="A757" s="35"/>
      <c r="B757" s="36"/>
      <c r="C757" s="11" t="str">
        <f aca="false">IF(B757="","",IFERROR(INDEX(Leads!$C:$C,MATCH(B757,Leads!$A:$A,0)),"ID not found"))</f>
        <v/>
      </c>
      <c r="D757" s="11" t="str">
        <f aca="false">IF(B757="","",IFERROR(INDEX(Leads!$B:$B,MATCH(B757,Leads!$A:$A,0)),""))</f>
        <v/>
      </c>
      <c r="E757" s="36"/>
      <c r="F757" s="36"/>
      <c r="G757" s="36"/>
      <c r="H757" s="35"/>
      <c r="I757" s="36"/>
    </row>
    <row r="758" customFormat="false" ht="15" hidden="false" customHeight="false" outlineLevel="0" collapsed="false">
      <c r="A758" s="35"/>
      <c r="B758" s="36"/>
      <c r="C758" s="11" t="str">
        <f aca="false">IF(B758="","",IFERROR(INDEX(Leads!$C:$C,MATCH(B758,Leads!$A:$A,0)),"ID not found"))</f>
        <v/>
      </c>
      <c r="D758" s="11" t="str">
        <f aca="false">IF(B758="","",IFERROR(INDEX(Leads!$B:$B,MATCH(B758,Leads!$A:$A,0)),""))</f>
        <v/>
      </c>
      <c r="E758" s="36"/>
      <c r="F758" s="36"/>
      <c r="G758" s="36"/>
      <c r="H758" s="35"/>
      <c r="I758" s="36"/>
    </row>
    <row r="759" customFormat="false" ht="15" hidden="false" customHeight="false" outlineLevel="0" collapsed="false">
      <c r="A759" s="35"/>
      <c r="B759" s="36"/>
      <c r="C759" s="11" t="str">
        <f aca="false">IF(B759="","",IFERROR(INDEX(Leads!$C:$C,MATCH(B759,Leads!$A:$A,0)),"ID not found"))</f>
        <v/>
      </c>
      <c r="D759" s="11" t="str">
        <f aca="false">IF(B759="","",IFERROR(INDEX(Leads!$B:$B,MATCH(B759,Leads!$A:$A,0)),""))</f>
        <v/>
      </c>
      <c r="E759" s="36"/>
      <c r="F759" s="36"/>
      <c r="G759" s="36"/>
      <c r="H759" s="35"/>
      <c r="I759" s="36"/>
    </row>
    <row r="760" customFormat="false" ht="15" hidden="false" customHeight="false" outlineLevel="0" collapsed="false">
      <c r="A760" s="35"/>
      <c r="B760" s="36"/>
      <c r="C760" s="11" t="str">
        <f aca="false">IF(B760="","",IFERROR(INDEX(Leads!$C:$C,MATCH(B760,Leads!$A:$A,0)),"ID not found"))</f>
        <v/>
      </c>
      <c r="D760" s="11" t="str">
        <f aca="false">IF(B760="","",IFERROR(INDEX(Leads!$B:$B,MATCH(B760,Leads!$A:$A,0)),""))</f>
        <v/>
      </c>
      <c r="E760" s="36"/>
      <c r="F760" s="36"/>
      <c r="G760" s="36"/>
      <c r="H760" s="35"/>
      <c r="I760" s="36"/>
    </row>
    <row r="761" customFormat="false" ht="15" hidden="false" customHeight="false" outlineLevel="0" collapsed="false">
      <c r="A761" s="35"/>
      <c r="B761" s="36"/>
      <c r="C761" s="11" t="str">
        <f aca="false">IF(B761="","",IFERROR(INDEX(Leads!$C:$C,MATCH(B761,Leads!$A:$A,0)),"ID not found"))</f>
        <v/>
      </c>
      <c r="D761" s="11" t="str">
        <f aca="false">IF(B761="","",IFERROR(INDEX(Leads!$B:$B,MATCH(B761,Leads!$A:$A,0)),""))</f>
        <v/>
      </c>
      <c r="E761" s="36"/>
      <c r="F761" s="36"/>
      <c r="G761" s="36"/>
      <c r="H761" s="35"/>
      <c r="I761" s="36"/>
    </row>
    <row r="762" customFormat="false" ht="15" hidden="false" customHeight="false" outlineLevel="0" collapsed="false">
      <c r="A762" s="35"/>
      <c r="B762" s="36"/>
      <c r="C762" s="11" t="str">
        <f aca="false">IF(B762="","",IFERROR(INDEX(Leads!$C:$C,MATCH(B762,Leads!$A:$A,0)),"ID not found"))</f>
        <v/>
      </c>
      <c r="D762" s="11" t="str">
        <f aca="false">IF(B762="","",IFERROR(INDEX(Leads!$B:$B,MATCH(B762,Leads!$A:$A,0)),""))</f>
        <v/>
      </c>
      <c r="E762" s="36"/>
      <c r="F762" s="36"/>
      <c r="G762" s="36"/>
      <c r="H762" s="35"/>
      <c r="I762" s="36"/>
    </row>
    <row r="763" customFormat="false" ht="15" hidden="false" customHeight="false" outlineLevel="0" collapsed="false">
      <c r="A763" s="35"/>
      <c r="B763" s="36"/>
      <c r="C763" s="11" t="str">
        <f aca="false">IF(B763="","",IFERROR(INDEX(Leads!$C:$C,MATCH(B763,Leads!$A:$A,0)),"ID not found"))</f>
        <v/>
      </c>
      <c r="D763" s="11" t="str">
        <f aca="false">IF(B763="","",IFERROR(INDEX(Leads!$B:$B,MATCH(B763,Leads!$A:$A,0)),""))</f>
        <v/>
      </c>
      <c r="E763" s="36"/>
      <c r="F763" s="36"/>
      <c r="G763" s="36"/>
      <c r="H763" s="35"/>
      <c r="I763" s="36"/>
    </row>
    <row r="764" customFormat="false" ht="15" hidden="false" customHeight="false" outlineLevel="0" collapsed="false">
      <c r="A764" s="35"/>
      <c r="B764" s="36"/>
      <c r="C764" s="11" t="str">
        <f aca="false">IF(B764="","",IFERROR(INDEX(Leads!$C:$C,MATCH(B764,Leads!$A:$A,0)),"ID not found"))</f>
        <v/>
      </c>
      <c r="D764" s="11" t="str">
        <f aca="false">IF(B764="","",IFERROR(INDEX(Leads!$B:$B,MATCH(B764,Leads!$A:$A,0)),""))</f>
        <v/>
      </c>
      <c r="E764" s="36"/>
      <c r="F764" s="36"/>
      <c r="G764" s="36"/>
      <c r="H764" s="35"/>
      <c r="I764" s="36"/>
    </row>
    <row r="765" customFormat="false" ht="15" hidden="false" customHeight="false" outlineLevel="0" collapsed="false">
      <c r="A765" s="35"/>
      <c r="B765" s="36"/>
      <c r="C765" s="11" t="str">
        <f aca="false">IF(B765="","",IFERROR(INDEX(Leads!$C:$C,MATCH(B765,Leads!$A:$A,0)),"ID not found"))</f>
        <v/>
      </c>
      <c r="D765" s="11" t="str">
        <f aca="false">IF(B765="","",IFERROR(INDEX(Leads!$B:$B,MATCH(B765,Leads!$A:$A,0)),""))</f>
        <v/>
      </c>
      <c r="E765" s="36"/>
      <c r="F765" s="36"/>
      <c r="G765" s="36"/>
      <c r="H765" s="35"/>
      <c r="I765" s="36"/>
    </row>
    <row r="766" customFormat="false" ht="15" hidden="false" customHeight="false" outlineLevel="0" collapsed="false">
      <c r="A766" s="35"/>
      <c r="B766" s="36"/>
      <c r="C766" s="11" t="str">
        <f aca="false">IF(B766="","",IFERROR(INDEX(Leads!$C:$C,MATCH(B766,Leads!$A:$A,0)),"ID not found"))</f>
        <v/>
      </c>
      <c r="D766" s="11" t="str">
        <f aca="false">IF(B766="","",IFERROR(INDEX(Leads!$B:$B,MATCH(B766,Leads!$A:$A,0)),""))</f>
        <v/>
      </c>
      <c r="E766" s="36"/>
      <c r="F766" s="36"/>
      <c r="G766" s="36"/>
      <c r="H766" s="35"/>
      <c r="I766" s="36"/>
    </row>
    <row r="767" customFormat="false" ht="15" hidden="false" customHeight="false" outlineLevel="0" collapsed="false">
      <c r="A767" s="35"/>
      <c r="B767" s="36"/>
      <c r="C767" s="11" t="str">
        <f aca="false">IF(B767="","",IFERROR(INDEX(Leads!$C:$C,MATCH(B767,Leads!$A:$A,0)),"ID not found"))</f>
        <v/>
      </c>
      <c r="D767" s="11" t="str">
        <f aca="false">IF(B767="","",IFERROR(INDEX(Leads!$B:$B,MATCH(B767,Leads!$A:$A,0)),""))</f>
        <v/>
      </c>
      <c r="E767" s="36"/>
      <c r="F767" s="36"/>
      <c r="G767" s="36"/>
      <c r="H767" s="35"/>
      <c r="I767" s="36"/>
    </row>
    <row r="768" customFormat="false" ht="15" hidden="false" customHeight="false" outlineLevel="0" collapsed="false">
      <c r="A768" s="35"/>
      <c r="B768" s="36"/>
      <c r="C768" s="11" t="str">
        <f aca="false">IF(B768="","",IFERROR(INDEX(Leads!$C:$C,MATCH(B768,Leads!$A:$A,0)),"ID not found"))</f>
        <v/>
      </c>
      <c r="D768" s="11" t="str">
        <f aca="false">IF(B768="","",IFERROR(INDEX(Leads!$B:$B,MATCH(B768,Leads!$A:$A,0)),""))</f>
        <v/>
      </c>
      <c r="E768" s="36"/>
      <c r="F768" s="36"/>
      <c r="G768" s="36"/>
      <c r="H768" s="35"/>
      <c r="I768" s="36"/>
    </row>
    <row r="769" customFormat="false" ht="15" hidden="false" customHeight="false" outlineLevel="0" collapsed="false">
      <c r="A769" s="35"/>
      <c r="B769" s="36"/>
      <c r="C769" s="11" t="str">
        <f aca="false">IF(B769="","",IFERROR(INDEX(Leads!$C:$C,MATCH(B769,Leads!$A:$A,0)),"ID not found"))</f>
        <v/>
      </c>
      <c r="D769" s="11" t="str">
        <f aca="false">IF(B769="","",IFERROR(INDEX(Leads!$B:$B,MATCH(B769,Leads!$A:$A,0)),""))</f>
        <v/>
      </c>
      <c r="E769" s="36"/>
      <c r="F769" s="36"/>
      <c r="G769" s="36"/>
      <c r="H769" s="35"/>
      <c r="I769" s="36"/>
    </row>
    <row r="770" customFormat="false" ht="15" hidden="false" customHeight="false" outlineLevel="0" collapsed="false">
      <c r="A770" s="35"/>
      <c r="B770" s="36"/>
      <c r="C770" s="11" t="str">
        <f aca="false">IF(B770="","",IFERROR(INDEX(Leads!$C:$C,MATCH(B770,Leads!$A:$A,0)),"ID not found"))</f>
        <v/>
      </c>
      <c r="D770" s="11" t="str">
        <f aca="false">IF(B770="","",IFERROR(INDEX(Leads!$B:$B,MATCH(B770,Leads!$A:$A,0)),""))</f>
        <v/>
      </c>
      <c r="E770" s="36"/>
      <c r="F770" s="36"/>
      <c r="G770" s="36"/>
      <c r="H770" s="35"/>
      <c r="I770" s="36"/>
    </row>
    <row r="771" customFormat="false" ht="15" hidden="false" customHeight="false" outlineLevel="0" collapsed="false">
      <c r="A771" s="35"/>
      <c r="B771" s="36"/>
      <c r="C771" s="11" t="str">
        <f aca="false">IF(B771="","",IFERROR(INDEX(Leads!$C:$C,MATCH(B771,Leads!$A:$A,0)),"ID not found"))</f>
        <v/>
      </c>
      <c r="D771" s="11" t="str">
        <f aca="false">IF(B771="","",IFERROR(INDEX(Leads!$B:$B,MATCH(B771,Leads!$A:$A,0)),""))</f>
        <v/>
      </c>
      <c r="E771" s="36"/>
      <c r="F771" s="36"/>
      <c r="G771" s="36"/>
      <c r="H771" s="35"/>
      <c r="I771" s="36"/>
    </row>
    <row r="772" customFormat="false" ht="15" hidden="false" customHeight="false" outlineLevel="0" collapsed="false">
      <c r="A772" s="35"/>
      <c r="B772" s="36"/>
      <c r="C772" s="11" t="str">
        <f aca="false">IF(B772="","",IFERROR(INDEX(Leads!$C:$C,MATCH(B772,Leads!$A:$A,0)),"ID not found"))</f>
        <v/>
      </c>
      <c r="D772" s="11" t="str">
        <f aca="false">IF(B772="","",IFERROR(INDEX(Leads!$B:$B,MATCH(B772,Leads!$A:$A,0)),""))</f>
        <v/>
      </c>
      <c r="E772" s="36"/>
      <c r="F772" s="36"/>
      <c r="G772" s="36"/>
      <c r="H772" s="35"/>
      <c r="I772" s="36"/>
    </row>
    <row r="773" customFormat="false" ht="15" hidden="false" customHeight="false" outlineLevel="0" collapsed="false">
      <c r="A773" s="35"/>
      <c r="B773" s="36"/>
      <c r="C773" s="11" t="str">
        <f aca="false">IF(B773="","",IFERROR(INDEX(Leads!$C:$C,MATCH(B773,Leads!$A:$A,0)),"ID not found"))</f>
        <v/>
      </c>
      <c r="D773" s="11" t="str">
        <f aca="false">IF(B773="","",IFERROR(INDEX(Leads!$B:$B,MATCH(B773,Leads!$A:$A,0)),""))</f>
        <v/>
      </c>
      <c r="E773" s="36"/>
      <c r="F773" s="36"/>
      <c r="G773" s="36"/>
      <c r="H773" s="35"/>
      <c r="I773" s="36"/>
    </row>
    <row r="774" customFormat="false" ht="15" hidden="false" customHeight="false" outlineLevel="0" collapsed="false">
      <c r="A774" s="35"/>
      <c r="B774" s="36"/>
      <c r="C774" s="11" t="str">
        <f aca="false">IF(B774="","",IFERROR(INDEX(Leads!$C:$C,MATCH(B774,Leads!$A:$A,0)),"ID not found"))</f>
        <v/>
      </c>
      <c r="D774" s="11" t="str">
        <f aca="false">IF(B774="","",IFERROR(INDEX(Leads!$B:$B,MATCH(B774,Leads!$A:$A,0)),""))</f>
        <v/>
      </c>
      <c r="E774" s="36"/>
      <c r="F774" s="36"/>
      <c r="G774" s="36"/>
      <c r="H774" s="35"/>
      <c r="I774" s="36"/>
    </row>
    <row r="775" customFormat="false" ht="15" hidden="false" customHeight="false" outlineLevel="0" collapsed="false">
      <c r="A775" s="35"/>
      <c r="B775" s="36"/>
      <c r="C775" s="11" t="str">
        <f aca="false">IF(B775="","",IFERROR(INDEX(Leads!$C:$C,MATCH(B775,Leads!$A:$A,0)),"ID not found"))</f>
        <v/>
      </c>
      <c r="D775" s="11" t="str">
        <f aca="false">IF(B775="","",IFERROR(INDEX(Leads!$B:$B,MATCH(B775,Leads!$A:$A,0)),""))</f>
        <v/>
      </c>
      <c r="E775" s="36"/>
      <c r="F775" s="36"/>
      <c r="G775" s="36"/>
      <c r="H775" s="35"/>
      <c r="I775" s="36"/>
    </row>
    <row r="776" customFormat="false" ht="15" hidden="false" customHeight="false" outlineLevel="0" collapsed="false">
      <c r="A776" s="35"/>
      <c r="B776" s="36"/>
      <c r="C776" s="11" t="str">
        <f aca="false">IF(B776="","",IFERROR(INDEX(Leads!$C:$C,MATCH(B776,Leads!$A:$A,0)),"ID not found"))</f>
        <v/>
      </c>
      <c r="D776" s="11" t="str">
        <f aca="false">IF(B776="","",IFERROR(INDEX(Leads!$B:$B,MATCH(B776,Leads!$A:$A,0)),""))</f>
        <v/>
      </c>
      <c r="E776" s="36"/>
      <c r="F776" s="36"/>
      <c r="G776" s="36"/>
      <c r="H776" s="35"/>
      <c r="I776" s="36"/>
    </row>
    <row r="777" customFormat="false" ht="15" hidden="false" customHeight="false" outlineLevel="0" collapsed="false">
      <c r="A777" s="35"/>
      <c r="B777" s="36"/>
      <c r="C777" s="11" t="str">
        <f aca="false">IF(B777="","",IFERROR(INDEX(Leads!$C:$C,MATCH(B777,Leads!$A:$A,0)),"ID not found"))</f>
        <v/>
      </c>
      <c r="D777" s="11" t="str">
        <f aca="false">IF(B777="","",IFERROR(INDEX(Leads!$B:$B,MATCH(B777,Leads!$A:$A,0)),""))</f>
        <v/>
      </c>
      <c r="E777" s="36"/>
      <c r="F777" s="36"/>
      <c r="G777" s="36"/>
      <c r="H777" s="35"/>
      <c r="I777" s="36"/>
    </row>
    <row r="778" customFormat="false" ht="15" hidden="false" customHeight="false" outlineLevel="0" collapsed="false">
      <c r="A778" s="35"/>
      <c r="B778" s="36"/>
      <c r="C778" s="11" t="str">
        <f aca="false">IF(B778="","",IFERROR(INDEX(Leads!$C:$C,MATCH(B778,Leads!$A:$A,0)),"ID not found"))</f>
        <v/>
      </c>
      <c r="D778" s="11" t="str">
        <f aca="false">IF(B778="","",IFERROR(INDEX(Leads!$B:$B,MATCH(B778,Leads!$A:$A,0)),""))</f>
        <v/>
      </c>
      <c r="E778" s="36"/>
      <c r="F778" s="36"/>
      <c r="G778" s="36"/>
      <c r="H778" s="35"/>
      <c r="I778" s="36"/>
    </row>
    <row r="779" customFormat="false" ht="15" hidden="false" customHeight="false" outlineLevel="0" collapsed="false">
      <c r="A779" s="35"/>
      <c r="B779" s="36"/>
      <c r="C779" s="11" t="str">
        <f aca="false">IF(B779="","",IFERROR(INDEX(Leads!$C:$C,MATCH(B779,Leads!$A:$A,0)),"ID not found"))</f>
        <v/>
      </c>
      <c r="D779" s="11" t="str">
        <f aca="false">IF(B779="","",IFERROR(INDEX(Leads!$B:$B,MATCH(B779,Leads!$A:$A,0)),""))</f>
        <v/>
      </c>
      <c r="E779" s="36"/>
      <c r="F779" s="36"/>
      <c r="G779" s="36"/>
      <c r="H779" s="35"/>
      <c r="I779" s="36"/>
    </row>
    <row r="780" customFormat="false" ht="15" hidden="false" customHeight="false" outlineLevel="0" collapsed="false">
      <c r="A780" s="35"/>
      <c r="B780" s="36"/>
      <c r="C780" s="11" t="str">
        <f aca="false">IF(B780="","",IFERROR(INDEX(Leads!$C:$C,MATCH(B780,Leads!$A:$A,0)),"ID not found"))</f>
        <v/>
      </c>
      <c r="D780" s="11" t="str">
        <f aca="false">IF(B780="","",IFERROR(INDEX(Leads!$B:$B,MATCH(B780,Leads!$A:$A,0)),""))</f>
        <v/>
      </c>
      <c r="E780" s="36"/>
      <c r="F780" s="36"/>
      <c r="G780" s="36"/>
      <c r="H780" s="35"/>
      <c r="I780" s="36"/>
    </row>
    <row r="781" customFormat="false" ht="15" hidden="false" customHeight="false" outlineLevel="0" collapsed="false">
      <c r="A781" s="35"/>
      <c r="B781" s="36"/>
      <c r="C781" s="11" t="str">
        <f aca="false">IF(B781="","",IFERROR(INDEX(Leads!$C:$C,MATCH(B781,Leads!$A:$A,0)),"ID not found"))</f>
        <v/>
      </c>
      <c r="D781" s="11" t="str">
        <f aca="false">IF(B781="","",IFERROR(INDEX(Leads!$B:$B,MATCH(B781,Leads!$A:$A,0)),""))</f>
        <v/>
      </c>
      <c r="E781" s="36"/>
      <c r="F781" s="36"/>
      <c r="G781" s="36"/>
      <c r="H781" s="35"/>
      <c r="I781" s="36"/>
    </row>
    <row r="782" customFormat="false" ht="15" hidden="false" customHeight="false" outlineLevel="0" collapsed="false">
      <c r="A782" s="35"/>
      <c r="B782" s="36"/>
      <c r="C782" s="11" t="str">
        <f aca="false">IF(B782="","",IFERROR(INDEX(Leads!$C:$C,MATCH(B782,Leads!$A:$A,0)),"ID not found"))</f>
        <v/>
      </c>
      <c r="D782" s="11" t="str">
        <f aca="false">IF(B782="","",IFERROR(INDEX(Leads!$B:$B,MATCH(B782,Leads!$A:$A,0)),""))</f>
        <v/>
      </c>
      <c r="E782" s="36"/>
      <c r="F782" s="36"/>
      <c r="G782" s="36"/>
      <c r="H782" s="35"/>
      <c r="I782" s="36"/>
    </row>
    <row r="783" customFormat="false" ht="15" hidden="false" customHeight="false" outlineLevel="0" collapsed="false">
      <c r="A783" s="35"/>
      <c r="B783" s="36"/>
      <c r="C783" s="11" t="str">
        <f aca="false">IF(B783="","",IFERROR(INDEX(Leads!$C:$C,MATCH(B783,Leads!$A:$A,0)),"ID not found"))</f>
        <v/>
      </c>
      <c r="D783" s="11" t="str">
        <f aca="false">IF(B783="","",IFERROR(INDEX(Leads!$B:$B,MATCH(B783,Leads!$A:$A,0)),""))</f>
        <v/>
      </c>
      <c r="E783" s="36"/>
      <c r="F783" s="36"/>
      <c r="G783" s="36"/>
      <c r="H783" s="35"/>
      <c r="I783" s="36"/>
    </row>
    <row r="784" customFormat="false" ht="15" hidden="false" customHeight="false" outlineLevel="0" collapsed="false">
      <c r="A784" s="35"/>
      <c r="B784" s="36"/>
      <c r="C784" s="11" t="str">
        <f aca="false">IF(B784="","",IFERROR(INDEX(Leads!$C:$C,MATCH(B784,Leads!$A:$A,0)),"ID not found"))</f>
        <v/>
      </c>
      <c r="D784" s="11" t="str">
        <f aca="false">IF(B784="","",IFERROR(INDEX(Leads!$B:$B,MATCH(B784,Leads!$A:$A,0)),""))</f>
        <v/>
      </c>
      <c r="E784" s="36"/>
      <c r="F784" s="36"/>
      <c r="G784" s="36"/>
      <c r="H784" s="35"/>
      <c r="I784" s="36"/>
    </row>
    <row r="785" customFormat="false" ht="15" hidden="false" customHeight="false" outlineLevel="0" collapsed="false">
      <c r="A785" s="35"/>
      <c r="B785" s="36"/>
      <c r="C785" s="11" t="str">
        <f aca="false">IF(B785="","",IFERROR(INDEX(Leads!$C:$C,MATCH(B785,Leads!$A:$A,0)),"ID not found"))</f>
        <v/>
      </c>
      <c r="D785" s="11" t="str">
        <f aca="false">IF(B785="","",IFERROR(INDEX(Leads!$B:$B,MATCH(B785,Leads!$A:$A,0)),""))</f>
        <v/>
      </c>
      <c r="E785" s="36"/>
      <c r="F785" s="36"/>
      <c r="G785" s="36"/>
      <c r="H785" s="35"/>
      <c r="I785" s="36"/>
    </row>
    <row r="786" customFormat="false" ht="15" hidden="false" customHeight="false" outlineLevel="0" collapsed="false">
      <c r="A786" s="35"/>
      <c r="B786" s="36"/>
      <c r="C786" s="11" t="str">
        <f aca="false">IF(B786="","",IFERROR(INDEX(Leads!$C:$C,MATCH(B786,Leads!$A:$A,0)),"ID not found"))</f>
        <v/>
      </c>
      <c r="D786" s="11" t="str">
        <f aca="false">IF(B786="","",IFERROR(INDEX(Leads!$B:$B,MATCH(B786,Leads!$A:$A,0)),""))</f>
        <v/>
      </c>
      <c r="E786" s="36"/>
      <c r="F786" s="36"/>
      <c r="G786" s="36"/>
      <c r="H786" s="35"/>
      <c r="I786" s="36"/>
    </row>
    <row r="787" customFormat="false" ht="15" hidden="false" customHeight="false" outlineLevel="0" collapsed="false">
      <c r="A787" s="35"/>
      <c r="B787" s="36"/>
      <c r="C787" s="11" t="str">
        <f aca="false">IF(B787="","",IFERROR(INDEX(Leads!$C:$C,MATCH(B787,Leads!$A:$A,0)),"ID not found"))</f>
        <v/>
      </c>
      <c r="D787" s="11" t="str">
        <f aca="false">IF(B787="","",IFERROR(INDEX(Leads!$B:$B,MATCH(B787,Leads!$A:$A,0)),""))</f>
        <v/>
      </c>
      <c r="E787" s="36"/>
      <c r="F787" s="36"/>
      <c r="G787" s="36"/>
      <c r="H787" s="35"/>
      <c r="I787" s="36"/>
    </row>
    <row r="788" customFormat="false" ht="15" hidden="false" customHeight="false" outlineLevel="0" collapsed="false">
      <c r="A788" s="35"/>
      <c r="B788" s="36"/>
      <c r="C788" s="11" t="str">
        <f aca="false">IF(B788="","",IFERROR(INDEX(Leads!$C:$C,MATCH(B788,Leads!$A:$A,0)),"ID not found"))</f>
        <v/>
      </c>
      <c r="D788" s="11" t="str">
        <f aca="false">IF(B788="","",IFERROR(INDEX(Leads!$B:$B,MATCH(B788,Leads!$A:$A,0)),""))</f>
        <v/>
      </c>
      <c r="E788" s="36"/>
      <c r="F788" s="36"/>
      <c r="G788" s="36"/>
      <c r="H788" s="35"/>
      <c r="I788" s="36"/>
    </row>
    <row r="789" customFormat="false" ht="15" hidden="false" customHeight="false" outlineLevel="0" collapsed="false">
      <c r="A789" s="35"/>
      <c r="B789" s="36"/>
      <c r="C789" s="11" t="str">
        <f aca="false">IF(B789="","",IFERROR(INDEX(Leads!$C:$C,MATCH(B789,Leads!$A:$A,0)),"ID not found"))</f>
        <v/>
      </c>
      <c r="D789" s="11" t="str">
        <f aca="false">IF(B789="","",IFERROR(INDEX(Leads!$B:$B,MATCH(B789,Leads!$A:$A,0)),""))</f>
        <v/>
      </c>
      <c r="E789" s="36"/>
      <c r="F789" s="36"/>
      <c r="G789" s="36"/>
      <c r="H789" s="35"/>
      <c r="I789" s="36"/>
    </row>
    <row r="790" customFormat="false" ht="15" hidden="false" customHeight="false" outlineLevel="0" collapsed="false">
      <c r="A790" s="35"/>
      <c r="B790" s="36"/>
      <c r="C790" s="11" t="str">
        <f aca="false">IF(B790="","",IFERROR(INDEX(Leads!$C:$C,MATCH(B790,Leads!$A:$A,0)),"ID not found"))</f>
        <v/>
      </c>
      <c r="D790" s="11" t="str">
        <f aca="false">IF(B790="","",IFERROR(INDEX(Leads!$B:$B,MATCH(B790,Leads!$A:$A,0)),""))</f>
        <v/>
      </c>
      <c r="E790" s="36"/>
      <c r="F790" s="36"/>
      <c r="G790" s="36"/>
      <c r="H790" s="35"/>
      <c r="I790" s="36"/>
    </row>
    <row r="791" customFormat="false" ht="15" hidden="false" customHeight="false" outlineLevel="0" collapsed="false">
      <c r="A791" s="35"/>
      <c r="B791" s="36"/>
      <c r="C791" s="11" t="str">
        <f aca="false">IF(B791="","",IFERROR(INDEX(Leads!$C:$C,MATCH(B791,Leads!$A:$A,0)),"ID not found"))</f>
        <v/>
      </c>
      <c r="D791" s="11" t="str">
        <f aca="false">IF(B791="","",IFERROR(INDEX(Leads!$B:$B,MATCH(B791,Leads!$A:$A,0)),""))</f>
        <v/>
      </c>
      <c r="E791" s="36"/>
      <c r="F791" s="36"/>
      <c r="G791" s="36"/>
      <c r="H791" s="35"/>
      <c r="I791" s="36"/>
    </row>
    <row r="792" customFormat="false" ht="15" hidden="false" customHeight="false" outlineLevel="0" collapsed="false">
      <c r="A792" s="35"/>
      <c r="B792" s="36"/>
      <c r="C792" s="11" t="str">
        <f aca="false">IF(B792="","",IFERROR(INDEX(Leads!$C:$C,MATCH(B792,Leads!$A:$A,0)),"ID not found"))</f>
        <v/>
      </c>
      <c r="D792" s="11" t="str">
        <f aca="false">IF(B792="","",IFERROR(INDEX(Leads!$B:$B,MATCH(B792,Leads!$A:$A,0)),""))</f>
        <v/>
      </c>
      <c r="E792" s="36"/>
      <c r="F792" s="36"/>
      <c r="G792" s="36"/>
      <c r="H792" s="35"/>
      <c r="I792" s="36"/>
    </row>
    <row r="793" customFormat="false" ht="15" hidden="false" customHeight="false" outlineLevel="0" collapsed="false">
      <c r="A793" s="35"/>
      <c r="B793" s="36"/>
      <c r="C793" s="11" t="str">
        <f aca="false">IF(B793="","",IFERROR(INDEX(Leads!$C:$C,MATCH(B793,Leads!$A:$A,0)),"ID not found"))</f>
        <v/>
      </c>
      <c r="D793" s="11" t="str">
        <f aca="false">IF(B793="","",IFERROR(INDEX(Leads!$B:$B,MATCH(B793,Leads!$A:$A,0)),""))</f>
        <v/>
      </c>
      <c r="E793" s="36"/>
      <c r="F793" s="36"/>
      <c r="G793" s="36"/>
      <c r="H793" s="35"/>
      <c r="I793" s="36"/>
    </row>
    <row r="794" customFormat="false" ht="15" hidden="false" customHeight="false" outlineLevel="0" collapsed="false">
      <c r="A794" s="35"/>
      <c r="B794" s="36"/>
      <c r="C794" s="11" t="str">
        <f aca="false">IF(B794="","",IFERROR(INDEX(Leads!$C:$C,MATCH(B794,Leads!$A:$A,0)),"ID not found"))</f>
        <v/>
      </c>
      <c r="D794" s="11" t="str">
        <f aca="false">IF(B794="","",IFERROR(INDEX(Leads!$B:$B,MATCH(B794,Leads!$A:$A,0)),""))</f>
        <v/>
      </c>
      <c r="E794" s="36"/>
      <c r="F794" s="36"/>
      <c r="G794" s="36"/>
      <c r="H794" s="35"/>
      <c r="I794" s="36"/>
    </row>
    <row r="795" customFormat="false" ht="15" hidden="false" customHeight="false" outlineLevel="0" collapsed="false">
      <c r="A795" s="35"/>
      <c r="B795" s="36"/>
      <c r="C795" s="11" t="str">
        <f aca="false">IF(B795="","",IFERROR(INDEX(Leads!$C:$C,MATCH(B795,Leads!$A:$A,0)),"ID not found"))</f>
        <v/>
      </c>
      <c r="D795" s="11" t="str">
        <f aca="false">IF(B795="","",IFERROR(INDEX(Leads!$B:$B,MATCH(B795,Leads!$A:$A,0)),""))</f>
        <v/>
      </c>
      <c r="E795" s="36"/>
      <c r="F795" s="36"/>
      <c r="G795" s="36"/>
      <c r="H795" s="35"/>
      <c r="I795" s="36"/>
    </row>
    <row r="796" customFormat="false" ht="15" hidden="false" customHeight="false" outlineLevel="0" collapsed="false">
      <c r="A796" s="35"/>
      <c r="B796" s="36"/>
      <c r="C796" s="11" t="str">
        <f aca="false">IF(B796="","",IFERROR(INDEX(Leads!$C:$C,MATCH(B796,Leads!$A:$A,0)),"ID not found"))</f>
        <v/>
      </c>
      <c r="D796" s="11" t="str">
        <f aca="false">IF(B796="","",IFERROR(INDEX(Leads!$B:$B,MATCH(B796,Leads!$A:$A,0)),""))</f>
        <v/>
      </c>
      <c r="E796" s="36"/>
      <c r="F796" s="36"/>
      <c r="G796" s="36"/>
      <c r="H796" s="35"/>
      <c r="I796" s="36"/>
    </row>
    <row r="797" customFormat="false" ht="15" hidden="false" customHeight="false" outlineLevel="0" collapsed="false">
      <c r="A797" s="35"/>
      <c r="B797" s="36"/>
      <c r="C797" s="11" t="str">
        <f aca="false">IF(B797="","",IFERROR(INDEX(Leads!$C:$C,MATCH(B797,Leads!$A:$A,0)),"ID not found"))</f>
        <v/>
      </c>
      <c r="D797" s="11" t="str">
        <f aca="false">IF(B797="","",IFERROR(INDEX(Leads!$B:$B,MATCH(B797,Leads!$A:$A,0)),""))</f>
        <v/>
      </c>
      <c r="E797" s="36"/>
      <c r="F797" s="36"/>
      <c r="G797" s="36"/>
      <c r="H797" s="35"/>
      <c r="I797" s="36"/>
    </row>
    <row r="798" customFormat="false" ht="15" hidden="false" customHeight="false" outlineLevel="0" collapsed="false">
      <c r="A798" s="35"/>
      <c r="B798" s="36"/>
      <c r="C798" s="11" t="str">
        <f aca="false">IF(B798="","",IFERROR(INDEX(Leads!$C:$C,MATCH(B798,Leads!$A:$A,0)),"ID not found"))</f>
        <v/>
      </c>
      <c r="D798" s="11" t="str">
        <f aca="false">IF(B798="","",IFERROR(INDEX(Leads!$B:$B,MATCH(B798,Leads!$A:$A,0)),""))</f>
        <v/>
      </c>
      <c r="E798" s="36"/>
      <c r="F798" s="36"/>
      <c r="G798" s="36"/>
      <c r="H798" s="35"/>
      <c r="I798" s="36"/>
    </row>
    <row r="799" customFormat="false" ht="15" hidden="false" customHeight="false" outlineLevel="0" collapsed="false">
      <c r="A799" s="35"/>
      <c r="B799" s="36"/>
      <c r="C799" s="11" t="str">
        <f aca="false">IF(B799="","",IFERROR(INDEX(Leads!$C:$C,MATCH(B799,Leads!$A:$A,0)),"ID not found"))</f>
        <v/>
      </c>
      <c r="D799" s="11" t="str">
        <f aca="false">IF(B799="","",IFERROR(INDEX(Leads!$B:$B,MATCH(B799,Leads!$A:$A,0)),""))</f>
        <v/>
      </c>
      <c r="E799" s="36"/>
      <c r="F799" s="36"/>
      <c r="G799" s="36"/>
      <c r="H799" s="35"/>
      <c r="I799" s="36"/>
    </row>
    <row r="800" customFormat="false" ht="15" hidden="false" customHeight="false" outlineLevel="0" collapsed="false">
      <c r="A800" s="35"/>
      <c r="B800" s="36"/>
      <c r="C800" s="11" t="str">
        <f aca="false">IF(B800="","",IFERROR(INDEX(Leads!$C:$C,MATCH(B800,Leads!$A:$A,0)),"ID not found"))</f>
        <v/>
      </c>
      <c r="D800" s="11" t="str">
        <f aca="false">IF(B800="","",IFERROR(INDEX(Leads!$B:$B,MATCH(B800,Leads!$A:$A,0)),""))</f>
        <v/>
      </c>
      <c r="E800" s="36"/>
      <c r="F800" s="36"/>
      <c r="G800" s="36"/>
      <c r="H800" s="35"/>
      <c r="I800" s="36"/>
    </row>
    <row r="801" customFormat="false" ht="15" hidden="false" customHeight="false" outlineLevel="0" collapsed="false">
      <c r="A801" s="35"/>
      <c r="B801" s="36"/>
      <c r="C801" s="11" t="str">
        <f aca="false">IF(B801="","",IFERROR(INDEX(Leads!$C:$C,MATCH(B801,Leads!$A:$A,0)),"ID not found"))</f>
        <v/>
      </c>
      <c r="D801" s="11" t="str">
        <f aca="false">IF(B801="","",IFERROR(INDEX(Leads!$B:$B,MATCH(B801,Leads!$A:$A,0)),""))</f>
        <v/>
      </c>
      <c r="E801" s="36"/>
      <c r="F801" s="36"/>
      <c r="G801" s="36"/>
      <c r="H801" s="35"/>
      <c r="I801" s="36"/>
    </row>
    <row r="802" customFormat="false" ht="15" hidden="false" customHeight="false" outlineLevel="0" collapsed="false">
      <c r="A802" s="35"/>
      <c r="B802" s="36"/>
      <c r="C802" s="11" t="str">
        <f aca="false">IF(B802="","",IFERROR(INDEX(Leads!$C:$C,MATCH(B802,Leads!$A:$A,0)),"ID not found"))</f>
        <v/>
      </c>
      <c r="D802" s="11" t="str">
        <f aca="false">IF(B802="","",IFERROR(INDEX(Leads!$B:$B,MATCH(B802,Leads!$A:$A,0)),""))</f>
        <v/>
      </c>
      <c r="E802" s="36"/>
      <c r="F802" s="36"/>
      <c r="G802" s="36"/>
      <c r="H802" s="35"/>
      <c r="I802" s="36"/>
    </row>
    <row r="803" customFormat="false" ht="15" hidden="false" customHeight="false" outlineLevel="0" collapsed="false">
      <c r="A803" s="35"/>
      <c r="B803" s="36"/>
      <c r="C803" s="11" t="str">
        <f aca="false">IF(B803="","",IFERROR(INDEX(Leads!$C:$C,MATCH(B803,Leads!$A:$A,0)),"ID not found"))</f>
        <v/>
      </c>
      <c r="D803" s="11" t="str">
        <f aca="false">IF(B803="","",IFERROR(INDEX(Leads!$B:$B,MATCH(B803,Leads!$A:$A,0)),""))</f>
        <v/>
      </c>
      <c r="E803" s="36"/>
      <c r="F803" s="36"/>
      <c r="G803" s="36"/>
      <c r="H803" s="35"/>
      <c r="I803" s="36"/>
    </row>
    <row r="804" customFormat="false" ht="15" hidden="false" customHeight="false" outlineLevel="0" collapsed="false">
      <c r="A804" s="35"/>
      <c r="B804" s="36"/>
      <c r="C804" s="11" t="str">
        <f aca="false">IF(B804="","",IFERROR(INDEX(Leads!$C:$C,MATCH(B804,Leads!$A:$A,0)),"ID not found"))</f>
        <v/>
      </c>
      <c r="D804" s="11" t="str">
        <f aca="false">IF(B804="","",IFERROR(INDEX(Leads!$B:$B,MATCH(B804,Leads!$A:$A,0)),""))</f>
        <v/>
      </c>
      <c r="E804" s="36"/>
      <c r="F804" s="36"/>
      <c r="G804" s="36"/>
      <c r="H804" s="35"/>
      <c r="I804" s="36"/>
    </row>
    <row r="805" customFormat="false" ht="15" hidden="false" customHeight="false" outlineLevel="0" collapsed="false">
      <c r="A805" s="35"/>
      <c r="B805" s="36"/>
      <c r="C805" s="11" t="str">
        <f aca="false">IF(B805="","",IFERROR(INDEX(Leads!$C:$C,MATCH(B805,Leads!$A:$A,0)),"ID not found"))</f>
        <v/>
      </c>
      <c r="D805" s="11" t="str">
        <f aca="false">IF(B805="","",IFERROR(INDEX(Leads!$B:$B,MATCH(B805,Leads!$A:$A,0)),""))</f>
        <v/>
      </c>
      <c r="E805" s="36"/>
      <c r="F805" s="36"/>
      <c r="G805" s="36"/>
      <c r="H805" s="35"/>
      <c r="I805" s="36"/>
    </row>
    <row r="806" customFormat="false" ht="15" hidden="false" customHeight="false" outlineLevel="0" collapsed="false">
      <c r="A806" s="35"/>
      <c r="B806" s="36"/>
      <c r="C806" s="11" t="str">
        <f aca="false">IF(B806="","",IFERROR(INDEX(Leads!$C:$C,MATCH(B806,Leads!$A:$A,0)),"ID not found"))</f>
        <v/>
      </c>
      <c r="D806" s="11" t="str">
        <f aca="false">IF(B806="","",IFERROR(INDEX(Leads!$B:$B,MATCH(B806,Leads!$A:$A,0)),""))</f>
        <v/>
      </c>
      <c r="E806" s="36"/>
      <c r="F806" s="36"/>
      <c r="G806" s="36"/>
      <c r="H806" s="35"/>
      <c r="I806" s="36"/>
    </row>
    <row r="807" customFormat="false" ht="15" hidden="false" customHeight="false" outlineLevel="0" collapsed="false">
      <c r="A807" s="35"/>
      <c r="B807" s="36"/>
      <c r="C807" s="11" t="str">
        <f aca="false">IF(B807="","",IFERROR(INDEX(Leads!$C:$C,MATCH(B807,Leads!$A:$A,0)),"ID not found"))</f>
        <v/>
      </c>
      <c r="D807" s="11" t="str">
        <f aca="false">IF(B807="","",IFERROR(INDEX(Leads!$B:$B,MATCH(B807,Leads!$A:$A,0)),""))</f>
        <v/>
      </c>
      <c r="E807" s="36"/>
      <c r="F807" s="36"/>
      <c r="G807" s="36"/>
      <c r="H807" s="35"/>
      <c r="I807" s="36"/>
    </row>
    <row r="808" customFormat="false" ht="15" hidden="false" customHeight="false" outlineLevel="0" collapsed="false">
      <c r="A808" s="35"/>
      <c r="B808" s="36"/>
      <c r="C808" s="11" t="str">
        <f aca="false">IF(B808="","",IFERROR(INDEX(Leads!$C:$C,MATCH(B808,Leads!$A:$A,0)),"ID not found"))</f>
        <v/>
      </c>
      <c r="D808" s="11" t="str">
        <f aca="false">IF(B808="","",IFERROR(INDEX(Leads!$B:$B,MATCH(B808,Leads!$A:$A,0)),""))</f>
        <v/>
      </c>
      <c r="E808" s="36"/>
      <c r="F808" s="36"/>
      <c r="G808" s="36"/>
      <c r="H808" s="35"/>
      <c r="I808" s="36"/>
    </row>
    <row r="809" customFormat="false" ht="15" hidden="false" customHeight="false" outlineLevel="0" collapsed="false">
      <c r="A809" s="35"/>
      <c r="B809" s="36"/>
      <c r="C809" s="11" t="str">
        <f aca="false">IF(B809="","",IFERROR(INDEX(Leads!$C:$C,MATCH(B809,Leads!$A:$A,0)),"ID not found"))</f>
        <v/>
      </c>
      <c r="D809" s="11" t="str">
        <f aca="false">IF(B809="","",IFERROR(INDEX(Leads!$B:$B,MATCH(B809,Leads!$A:$A,0)),""))</f>
        <v/>
      </c>
      <c r="E809" s="36"/>
      <c r="F809" s="36"/>
      <c r="G809" s="36"/>
      <c r="H809" s="35"/>
      <c r="I809" s="36"/>
    </row>
    <row r="810" customFormat="false" ht="15" hidden="false" customHeight="false" outlineLevel="0" collapsed="false">
      <c r="A810" s="35"/>
      <c r="B810" s="36"/>
      <c r="C810" s="11" t="str">
        <f aca="false">IF(B810="","",IFERROR(INDEX(Leads!$C:$C,MATCH(B810,Leads!$A:$A,0)),"ID not found"))</f>
        <v/>
      </c>
      <c r="D810" s="11" t="str">
        <f aca="false">IF(B810="","",IFERROR(INDEX(Leads!$B:$B,MATCH(B810,Leads!$A:$A,0)),""))</f>
        <v/>
      </c>
      <c r="E810" s="36"/>
      <c r="F810" s="36"/>
      <c r="G810" s="36"/>
      <c r="H810" s="35"/>
      <c r="I810" s="36"/>
    </row>
    <row r="811" customFormat="false" ht="15" hidden="false" customHeight="false" outlineLevel="0" collapsed="false">
      <c r="A811" s="35"/>
      <c r="B811" s="36"/>
      <c r="C811" s="11" t="str">
        <f aca="false">IF(B811="","",IFERROR(INDEX(Leads!$C:$C,MATCH(B811,Leads!$A:$A,0)),"ID not found"))</f>
        <v/>
      </c>
      <c r="D811" s="11" t="str">
        <f aca="false">IF(B811="","",IFERROR(INDEX(Leads!$B:$B,MATCH(B811,Leads!$A:$A,0)),""))</f>
        <v/>
      </c>
      <c r="E811" s="36"/>
      <c r="F811" s="36"/>
      <c r="G811" s="36"/>
      <c r="H811" s="35"/>
      <c r="I811" s="36"/>
    </row>
    <row r="812" customFormat="false" ht="15" hidden="false" customHeight="false" outlineLevel="0" collapsed="false">
      <c r="A812" s="35"/>
      <c r="B812" s="36"/>
      <c r="C812" s="11" t="str">
        <f aca="false">IF(B812="","",IFERROR(INDEX(Leads!$C:$C,MATCH(B812,Leads!$A:$A,0)),"ID not found"))</f>
        <v/>
      </c>
      <c r="D812" s="11" t="str">
        <f aca="false">IF(B812="","",IFERROR(INDEX(Leads!$B:$B,MATCH(B812,Leads!$A:$A,0)),""))</f>
        <v/>
      </c>
      <c r="E812" s="36"/>
      <c r="F812" s="36"/>
      <c r="G812" s="36"/>
      <c r="H812" s="35"/>
      <c r="I812" s="36"/>
    </row>
    <row r="813" customFormat="false" ht="15" hidden="false" customHeight="false" outlineLevel="0" collapsed="false">
      <c r="A813" s="35"/>
      <c r="B813" s="36"/>
      <c r="C813" s="11" t="str">
        <f aca="false">IF(B813="","",IFERROR(INDEX(Leads!$C:$C,MATCH(B813,Leads!$A:$A,0)),"ID not found"))</f>
        <v/>
      </c>
      <c r="D813" s="11" t="str">
        <f aca="false">IF(B813="","",IFERROR(INDEX(Leads!$B:$B,MATCH(B813,Leads!$A:$A,0)),""))</f>
        <v/>
      </c>
      <c r="E813" s="36"/>
      <c r="F813" s="36"/>
      <c r="G813" s="36"/>
      <c r="H813" s="35"/>
      <c r="I813" s="36"/>
    </row>
    <row r="814" customFormat="false" ht="15" hidden="false" customHeight="false" outlineLevel="0" collapsed="false">
      <c r="A814" s="35"/>
      <c r="B814" s="36"/>
      <c r="C814" s="11" t="str">
        <f aca="false">IF(B814="","",IFERROR(INDEX(Leads!$C:$C,MATCH(B814,Leads!$A:$A,0)),"ID not found"))</f>
        <v/>
      </c>
      <c r="D814" s="11" t="str">
        <f aca="false">IF(B814="","",IFERROR(INDEX(Leads!$B:$B,MATCH(B814,Leads!$A:$A,0)),""))</f>
        <v/>
      </c>
      <c r="E814" s="36"/>
      <c r="F814" s="36"/>
      <c r="G814" s="36"/>
      <c r="H814" s="35"/>
      <c r="I814" s="36"/>
    </row>
    <row r="815" customFormat="false" ht="15" hidden="false" customHeight="false" outlineLevel="0" collapsed="false">
      <c r="A815" s="35"/>
      <c r="B815" s="36"/>
      <c r="C815" s="11" t="str">
        <f aca="false">IF(B815="","",IFERROR(INDEX(Leads!$C:$C,MATCH(B815,Leads!$A:$A,0)),"ID not found"))</f>
        <v/>
      </c>
      <c r="D815" s="11" t="str">
        <f aca="false">IF(B815="","",IFERROR(INDEX(Leads!$B:$B,MATCH(B815,Leads!$A:$A,0)),""))</f>
        <v/>
      </c>
      <c r="E815" s="36"/>
      <c r="F815" s="36"/>
      <c r="G815" s="36"/>
      <c r="H815" s="35"/>
      <c r="I815" s="36"/>
    </row>
    <row r="816" customFormat="false" ht="15" hidden="false" customHeight="false" outlineLevel="0" collapsed="false">
      <c r="A816" s="35"/>
      <c r="B816" s="36"/>
      <c r="C816" s="11" t="str">
        <f aca="false">IF(B816="","",IFERROR(INDEX(Leads!$C:$C,MATCH(B816,Leads!$A:$A,0)),"ID not found"))</f>
        <v/>
      </c>
      <c r="D816" s="11" t="str">
        <f aca="false">IF(B816="","",IFERROR(INDEX(Leads!$B:$B,MATCH(B816,Leads!$A:$A,0)),""))</f>
        <v/>
      </c>
      <c r="E816" s="36"/>
      <c r="F816" s="36"/>
      <c r="G816" s="36"/>
      <c r="H816" s="35"/>
      <c r="I816" s="36"/>
    </row>
    <row r="817" customFormat="false" ht="15" hidden="false" customHeight="false" outlineLevel="0" collapsed="false">
      <c r="A817" s="35"/>
      <c r="B817" s="36"/>
      <c r="C817" s="11" t="str">
        <f aca="false">IF(B817="","",IFERROR(INDEX(Leads!$C:$C,MATCH(B817,Leads!$A:$A,0)),"ID not found"))</f>
        <v/>
      </c>
      <c r="D817" s="11" t="str">
        <f aca="false">IF(B817="","",IFERROR(INDEX(Leads!$B:$B,MATCH(B817,Leads!$A:$A,0)),""))</f>
        <v/>
      </c>
      <c r="E817" s="36"/>
      <c r="F817" s="36"/>
      <c r="G817" s="36"/>
      <c r="H817" s="35"/>
      <c r="I817" s="36"/>
    </row>
    <row r="818" customFormat="false" ht="15" hidden="false" customHeight="false" outlineLevel="0" collapsed="false">
      <c r="A818" s="35"/>
      <c r="B818" s="36"/>
      <c r="C818" s="11" t="str">
        <f aca="false">IF(B818="","",IFERROR(INDEX(Leads!$C:$C,MATCH(B818,Leads!$A:$A,0)),"ID not found"))</f>
        <v/>
      </c>
      <c r="D818" s="11" t="str">
        <f aca="false">IF(B818="","",IFERROR(INDEX(Leads!$B:$B,MATCH(B818,Leads!$A:$A,0)),""))</f>
        <v/>
      </c>
      <c r="E818" s="36"/>
      <c r="F818" s="36"/>
      <c r="G818" s="36"/>
      <c r="H818" s="35"/>
      <c r="I818" s="36"/>
    </row>
    <row r="819" customFormat="false" ht="15" hidden="false" customHeight="false" outlineLevel="0" collapsed="false">
      <c r="A819" s="35"/>
      <c r="B819" s="36"/>
      <c r="C819" s="11" t="str">
        <f aca="false">IF(B819="","",IFERROR(INDEX(Leads!$C:$C,MATCH(B819,Leads!$A:$A,0)),"ID not found"))</f>
        <v/>
      </c>
      <c r="D819" s="11" t="str">
        <f aca="false">IF(B819="","",IFERROR(INDEX(Leads!$B:$B,MATCH(B819,Leads!$A:$A,0)),""))</f>
        <v/>
      </c>
      <c r="E819" s="36"/>
      <c r="F819" s="36"/>
      <c r="G819" s="36"/>
      <c r="H819" s="35"/>
      <c r="I819" s="36"/>
    </row>
    <row r="820" customFormat="false" ht="15" hidden="false" customHeight="false" outlineLevel="0" collapsed="false">
      <c r="A820" s="35"/>
      <c r="B820" s="36"/>
      <c r="C820" s="11" t="str">
        <f aca="false">IF(B820="","",IFERROR(INDEX(Leads!$C:$C,MATCH(B820,Leads!$A:$A,0)),"ID not found"))</f>
        <v/>
      </c>
      <c r="D820" s="11" t="str">
        <f aca="false">IF(B820="","",IFERROR(INDEX(Leads!$B:$B,MATCH(B820,Leads!$A:$A,0)),""))</f>
        <v/>
      </c>
      <c r="E820" s="36"/>
      <c r="F820" s="36"/>
      <c r="G820" s="36"/>
      <c r="H820" s="35"/>
      <c r="I820" s="36"/>
    </row>
    <row r="821" customFormat="false" ht="15" hidden="false" customHeight="false" outlineLevel="0" collapsed="false">
      <c r="A821" s="35"/>
      <c r="B821" s="36"/>
      <c r="C821" s="11" t="str">
        <f aca="false">IF(B821="","",IFERROR(INDEX(Leads!$C:$C,MATCH(B821,Leads!$A:$A,0)),"ID not found"))</f>
        <v/>
      </c>
      <c r="D821" s="11" t="str">
        <f aca="false">IF(B821="","",IFERROR(INDEX(Leads!$B:$B,MATCH(B821,Leads!$A:$A,0)),""))</f>
        <v/>
      </c>
      <c r="E821" s="36"/>
      <c r="F821" s="36"/>
      <c r="G821" s="36"/>
      <c r="H821" s="35"/>
      <c r="I821" s="36"/>
    </row>
    <row r="822" customFormat="false" ht="15" hidden="false" customHeight="false" outlineLevel="0" collapsed="false">
      <c r="A822" s="35"/>
      <c r="B822" s="36"/>
      <c r="C822" s="11" t="str">
        <f aca="false">IF(B822="","",IFERROR(INDEX(Leads!$C:$C,MATCH(B822,Leads!$A:$A,0)),"ID not found"))</f>
        <v/>
      </c>
      <c r="D822" s="11" t="str">
        <f aca="false">IF(B822="","",IFERROR(INDEX(Leads!$B:$B,MATCH(B822,Leads!$A:$A,0)),""))</f>
        <v/>
      </c>
      <c r="E822" s="36"/>
      <c r="F822" s="36"/>
      <c r="G822" s="36"/>
      <c r="H822" s="35"/>
      <c r="I822" s="36"/>
    </row>
    <row r="823" customFormat="false" ht="15" hidden="false" customHeight="false" outlineLevel="0" collapsed="false">
      <c r="A823" s="35"/>
      <c r="B823" s="36"/>
      <c r="C823" s="11" t="str">
        <f aca="false">IF(B823="","",IFERROR(INDEX(Leads!$C:$C,MATCH(B823,Leads!$A:$A,0)),"ID not found"))</f>
        <v/>
      </c>
      <c r="D823" s="11" t="str">
        <f aca="false">IF(B823="","",IFERROR(INDEX(Leads!$B:$B,MATCH(B823,Leads!$A:$A,0)),""))</f>
        <v/>
      </c>
      <c r="E823" s="36"/>
      <c r="F823" s="36"/>
      <c r="G823" s="36"/>
      <c r="H823" s="35"/>
      <c r="I823" s="36"/>
    </row>
    <row r="824" customFormat="false" ht="15" hidden="false" customHeight="false" outlineLevel="0" collapsed="false">
      <c r="A824" s="35"/>
      <c r="B824" s="36"/>
      <c r="C824" s="11" t="str">
        <f aca="false">IF(B824="","",IFERROR(INDEX(Leads!$C:$C,MATCH(B824,Leads!$A:$A,0)),"ID not found"))</f>
        <v/>
      </c>
      <c r="D824" s="11" t="str">
        <f aca="false">IF(B824="","",IFERROR(INDEX(Leads!$B:$B,MATCH(B824,Leads!$A:$A,0)),""))</f>
        <v/>
      </c>
      <c r="E824" s="36"/>
      <c r="F824" s="36"/>
      <c r="G824" s="36"/>
      <c r="H824" s="35"/>
      <c r="I824" s="36"/>
    </row>
    <row r="825" customFormat="false" ht="15" hidden="false" customHeight="false" outlineLevel="0" collapsed="false">
      <c r="A825" s="35"/>
      <c r="B825" s="36"/>
      <c r="C825" s="11" t="str">
        <f aca="false">IF(B825="","",IFERROR(INDEX(Leads!$C:$C,MATCH(B825,Leads!$A:$A,0)),"ID not found"))</f>
        <v/>
      </c>
      <c r="D825" s="11" t="str">
        <f aca="false">IF(B825="","",IFERROR(INDEX(Leads!$B:$B,MATCH(B825,Leads!$A:$A,0)),""))</f>
        <v/>
      </c>
      <c r="E825" s="36"/>
      <c r="F825" s="36"/>
      <c r="G825" s="36"/>
      <c r="H825" s="35"/>
      <c r="I825" s="36"/>
    </row>
    <row r="826" customFormat="false" ht="15" hidden="false" customHeight="false" outlineLevel="0" collapsed="false">
      <c r="A826" s="35"/>
      <c r="B826" s="36"/>
      <c r="C826" s="11" t="str">
        <f aca="false">IF(B826="","",IFERROR(INDEX(Leads!$C:$C,MATCH(B826,Leads!$A:$A,0)),"ID not found"))</f>
        <v/>
      </c>
      <c r="D826" s="11" t="str">
        <f aca="false">IF(B826="","",IFERROR(INDEX(Leads!$B:$B,MATCH(B826,Leads!$A:$A,0)),""))</f>
        <v/>
      </c>
      <c r="E826" s="36"/>
      <c r="F826" s="36"/>
      <c r="G826" s="36"/>
      <c r="H826" s="35"/>
      <c r="I826" s="36"/>
    </row>
    <row r="827" customFormat="false" ht="15" hidden="false" customHeight="false" outlineLevel="0" collapsed="false">
      <c r="A827" s="35"/>
      <c r="B827" s="36"/>
      <c r="C827" s="11" t="str">
        <f aca="false">IF(B827="","",IFERROR(INDEX(Leads!$C:$C,MATCH(B827,Leads!$A:$A,0)),"ID not found"))</f>
        <v/>
      </c>
      <c r="D827" s="11" t="str">
        <f aca="false">IF(B827="","",IFERROR(INDEX(Leads!$B:$B,MATCH(B827,Leads!$A:$A,0)),""))</f>
        <v/>
      </c>
      <c r="E827" s="36"/>
      <c r="F827" s="36"/>
      <c r="G827" s="36"/>
      <c r="H827" s="35"/>
      <c r="I827" s="36"/>
    </row>
    <row r="828" customFormat="false" ht="15" hidden="false" customHeight="false" outlineLevel="0" collapsed="false">
      <c r="A828" s="35"/>
      <c r="B828" s="36"/>
      <c r="C828" s="11" t="str">
        <f aca="false">IF(B828="","",IFERROR(INDEX(Leads!$C:$C,MATCH(B828,Leads!$A:$A,0)),"ID not found"))</f>
        <v/>
      </c>
      <c r="D828" s="11" t="str">
        <f aca="false">IF(B828="","",IFERROR(INDEX(Leads!$B:$B,MATCH(B828,Leads!$A:$A,0)),""))</f>
        <v/>
      </c>
      <c r="E828" s="36"/>
      <c r="F828" s="36"/>
      <c r="G828" s="36"/>
      <c r="H828" s="35"/>
      <c r="I828" s="36"/>
    </row>
    <row r="829" customFormat="false" ht="15" hidden="false" customHeight="false" outlineLevel="0" collapsed="false">
      <c r="A829" s="35"/>
      <c r="B829" s="36"/>
      <c r="C829" s="11" t="str">
        <f aca="false">IF(B829="","",IFERROR(INDEX(Leads!$C:$C,MATCH(B829,Leads!$A:$A,0)),"ID not found"))</f>
        <v/>
      </c>
      <c r="D829" s="11" t="str">
        <f aca="false">IF(B829="","",IFERROR(INDEX(Leads!$B:$B,MATCH(B829,Leads!$A:$A,0)),""))</f>
        <v/>
      </c>
      <c r="E829" s="36"/>
      <c r="F829" s="36"/>
      <c r="G829" s="36"/>
      <c r="H829" s="35"/>
      <c r="I829" s="36"/>
    </row>
    <row r="830" customFormat="false" ht="15" hidden="false" customHeight="false" outlineLevel="0" collapsed="false">
      <c r="A830" s="35"/>
      <c r="B830" s="36"/>
      <c r="C830" s="11" t="str">
        <f aca="false">IF(B830="","",IFERROR(INDEX(Leads!$C:$C,MATCH(B830,Leads!$A:$A,0)),"ID not found"))</f>
        <v/>
      </c>
      <c r="D830" s="11" t="str">
        <f aca="false">IF(B830="","",IFERROR(INDEX(Leads!$B:$B,MATCH(B830,Leads!$A:$A,0)),""))</f>
        <v/>
      </c>
      <c r="E830" s="36"/>
      <c r="F830" s="36"/>
      <c r="G830" s="36"/>
      <c r="H830" s="35"/>
      <c r="I830" s="36"/>
    </row>
    <row r="831" customFormat="false" ht="15" hidden="false" customHeight="false" outlineLevel="0" collapsed="false">
      <c r="A831" s="35"/>
      <c r="B831" s="36"/>
      <c r="C831" s="11" t="str">
        <f aca="false">IF(B831="","",IFERROR(INDEX(Leads!$C:$C,MATCH(B831,Leads!$A:$A,0)),"ID not found"))</f>
        <v/>
      </c>
      <c r="D831" s="11" t="str">
        <f aca="false">IF(B831="","",IFERROR(INDEX(Leads!$B:$B,MATCH(B831,Leads!$A:$A,0)),""))</f>
        <v/>
      </c>
      <c r="E831" s="36"/>
      <c r="F831" s="36"/>
      <c r="G831" s="36"/>
      <c r="H831" s="35"/>
      <c r="I831" s="36"/>
    </row>
    <row r="832" customFormat="false" ht="15" hidden="false" customHeight="false" outlineLevel="0" collapsed="false">
      <c r="A832" s="35"/>
      <c r="B832" s="36"/>
      <c r="C832" s="11" t="str">
        <f aca="false">IF(B832="","",IFERROR(INDEX(Leads!$C:$C,MATCH(B832,Leads!$A:$A,0)),"ID not found"))</f>
        <v/>
      </c>
      <c r="D832" s="11" t="str">
        <f aca="false">IF(B832="","",IFERROR(INDEX(Leads!$B:$B,MATCH(B832,Leads!$A:$A,0)),""))</f>
        <v/>
      </c>
      <c r="E832" s="36"/>
      <c r="F832" s="36"/>
      <c r="G832" s="36"/>
      <c r="H832" s="35"/>
      <c r="I832" s="36"/>
    </row>
    <row r="833" customFormat="false" ht="15" hidden="false" customHeight="false" outlineLevel="0" collapsed="false">
      <c r="A833" s="35"/>
      <c r="B833" s="36"/>
      <c r="C833" s="11" t="str">
        <f aca="false">IF(B833="","",IFERROR(INDEX(Leads!$C:$C,MATCH(B833,Leads!$A:$A,0)),"ID not found"))</f>
        <v/>
      </c>
      <c r="D833" s="11" t="str">
        <f aca="false">IF(B833="","",IFERROR(INDEX(Leads!$B:$B,MATCH(B833,Leads!$A:$A,0)),""))</f>
        <v/>
      </c>
      <c r="E833" s="36"/>
      <c r="F833" s="36"/>
      <c r="G833" s="36"/>
      <c r="H833" s="35"/>
      <c r="I833" s="36"/>
    </row>
    <row r="834" customFormat="false" ht="15" hidden="false" customHeight="false" outlineLevel="0" collapsed="false">
      <c r="A834" s="35"/>
      <c r="B834" s="36"/>
      <c r="C834" s="11" t="str">
        <f aca="false">IF(B834="","",IFERROR(INDEX(Leads!$C:$C,MATCH(B834,Leads!$A:$A,0)),"ID not found"))</f>
        <v/>
      </c>
      <c r="D834" s="11" t="str">
        <f aca="false">IF(B834="","",IFERROR(INDEX(Leads!$B:$B,MATCH(B834,Leads!$A:$A,0)),""))</f>
        <v/>
      </c>
      <c r="E834" s="36"/>
      <c r="F834" s="36"/>
      <c r="G834" s="36"/>
      <c r="H834" s="35"/>
      <c r="I834" s="36"/>
    </row>
    <row r="835" customFormat="false" ht="15" hidden="false" customHeight="false" outlineLevel="0" collapsed="false">
      <c r="A835" s="35"/>
      <c r="B835" s="36"/>
      <c r="C835" s="11" t="str">
        <f aca="false">IF(B835="","",IFERROR(INDEX(Leads!$C:$C,MATCH(B835,Leads!$A:$A,0)),"ID not found"))</f>
        <v/>
      </c>
      <c r="D835" s="11" t="str">
        <f aca="false">IF(B835="","",IFERROR(INDEX(Leads!$B:$B,MATCH(B835,Leads!$A:$A,0)),""))</f>
        <v/>
      </c>
      <c r="E835" s="36"/>
      <c r="F835" s="36"/>
      <c r="G835" s="36"/>
      <c r="H835" s="35"/>
      <c r="I835" s="36"/>
    </row>
    <row r="836" customFormat="false" ht="15" hidden="false" customHeight="false" outlineLevel="0" collapsed="false">
      <c r="A836" s="35"/>
      <c r="B836" s="36"/>
      <c r="C836" s="11" t="str">
        <f aca="false">IF(B836="","",IFERROR(INDEX(Leads!$C:$C,MATCH(B836,Leads!$A:$A,0)),"ID not found"))</f>
        <v/>
      </c>
      <c r="D836" s="11" t="str">
        <f aca="false">IF(B836="","",IFERROR(INDEX(Leads!$B:$B,MATCH(B836,Leads!$A:$A,0)),""))</f>
        <v/>
      </c>
      <c r="E836" s="36"/>
      <c r="F836" s="36"/>
      <c r="G836" s="36"/>
      <c r="H836" s="35"/>
      <c r="I836" s="36"/>
    </row>
    <row r="837" customFormat="false" ht="15" hidden="false" customHeight="false" outlineLevel="0" collapsed="false">
      <c r="A837" s="35"/>
      <c r="B837" s="36"/>
      <c r="C837" s="11" t="str">
        <f aca="false">IF(B837="","",IFERROR(INDEX(Leads!$C:$C,MATCH(B837,Leads!$A:$A,0)),"ID not found"))</f>
        <v/>
      </c>
      <c r="D837" s="11" t="str">
        <f aca="false">IF(B837="","",IFERROR(INDEX(Leads!$B:$B,MATCH(B837,Leads!$A:$A,0)),""))</f>
        <v/>
      </c>
      <c r="E837" s="36"/>
      <c r="F837" s="36"/>
      <c r="G837" s="36"/>
      <c r="H837" s="35"/>
      <c r="I837" s="36"/>
    </row>
    <row r="838" customFormat="false" ht="15" hidden="false" customHeight="false" outlineLevel="0" collapsed="false">
      <c r="A838" s="35"/>
      <c r="B838" s="36"/>
      <c r="C838" s="11" t="str">
        <f aca="false">IF(B838="","",IFERROR(INDEX(Leads!$C:$C,MATCH(B838,Leads!$A:$A,0)),"ID not found"))</f>
        <v/>
      </c>
      <c r="D838" s="11" t="str">
        <f aca="false">IF(B838="","",IFERROR(INDEX(Leads!$B:$B,MATCH(B838,Leads!$A:$A,0)),""))</f>
        <v/>
      </c>
      <c r="E838" s="36"/>
      <c r="F838" s="36"/>
      <c r="G838" s="36"/>
      <c r="H838" s="35"/>
      <c r="I838" s="36"/>
    </row>
    <row r="839" customFormat="false" ht="15" hidden="false" customHeight="false" outlineLevel="0" collapsed="false">
      <c r="A839" s="35"/>
      <c r="B839" s="36"/>
      <c r="C839" s="11" t="str">
        <f aca="false">IF(B839="","",IFERROR(INDEX(Leads!$C:$C,MATCH(B839,Leads!$A:$A,0)),"ID not found"))</f>
        <v/>
      </c>
      <c r="D839" s="11" t="str">
        <f aca="false">IF(B839="","",IFERROR(INDEX(Leads!$B:$B,MATCH(B839,Leads!$A:$A,0)),""))</f>
        <v/>
      </c>
      <c r="E839" s="36"/>
      <c r="F839" s="36"/>
      <c r="G839" s="36"/>
      <c r="H839" s="35"/>
      <c r="I839" s="36"/>
    </row>
    <row r="840" customFormat="false" ht="15" hidden="false" customHeight="false" outlineLevel="0" collapsed="false">
      <c r="A840" s="35"/>
      <c r="B840" s="36"/>
      <c r="C840" s="11" t="str">
        <f aca="false">IF(B840="","",IFERROR(INDEX(Leads!$C:$C,MATCH(B840,Leads!$A:$A,0)),"ID not found"))</f>
        <v/>
      </c>
      <c r="D840" s="11" t="str">
        <f aca="false">IF(B840="","",IFERROR(INDEX(Leads!$B:$B,MATCH(B840,Leads!$A:$A,0)),""))</f>
        <v/>
      </c>
      <c r="E840" s="36"/>
      <c r="F840" s="36"/>
      <c r="G840" s="36"/>
      <c r="H840" s="35"/>
      <c r="I840" s="36"/>
    </row>
    <row r="841" customFormat="false" ht="15" hidden="false" customHeight="false" outlineLevel="0" collapsed="false">
      <c r="A841" s="35"/>
      <c r="B841" s="36"/>
      <c r="C841" s="11" t="str">
        <f aca="false">IF(B841="","",IFERROR(INDEX(Leads!$C:$C,MATCH(B841,Leads!$A:$A,0)),"ID not found"))</f>
        <v/>
      </c>
      <c r="D841" s="11" t="str">
        <f aca="false">IF(B841="","",IFERROR(INDEX(Leads!$B:$B,MATCH(B841,Leads!$A:$A,0)),""))</f>
        <v/>
      </c>
      <c r="E841" s="36"/>
      <c r="F841" s="36"/>
      <c r="G841" s="36"/>
      <c r="H841" s="35"/>
      <c r="I841" s="36"/>
    </row>
    <row r="842" customFormat="false" ht="15" hidden="false" customHeight="false" outlineLevel="0" collapsed="false">
      <c r="A842" s="35"/>
      <c r="B842" s="36"/>
      <c r="C842" s="11" t="str">
        <f aca="false">IF(B842="","",IFERROR(INDEX(Leads!$C:$C,MATCH(B842,Leads!$A:$A,0)),"ID not found"))</f>
        <v/>
      </c>
      <c r="D842" s="11" t="str">
        <f aca="false">IF(B842="","",IFERROR(INDEX(Leads!$B:$B,MATCH(B842,Leads!$A:$A,0)),""))</f>
        <v/>
      </c>
      <c r="E842" s="36"/>
      <c r="F842" s="36"/>
      <c r="G842" s="36"/>
      <c r="H842" s="35"/>
      <c r="I842" s="36"/>
    </row>
    <row r="843" customFormat="false" ht="15" hidden="false" customHeight="false" outlineLevel="0" collapsed="false">
      <c r="A843" s="35"/>
      <c r="B843" s="36"/>
      <c r="C843" s="11" t="str">
        <f aca="false">IF(B843="","",IFERROR(INDEX(Leads!$C:$C,MATCH(B843,Leads!$A:$A,0)),"ID not found"))</f>
        <v/>
      </c>
      <c r="D843" s="11" t="str">
        <f aca="false">IF(B843="","",IFERROR(INDEX(Leads!$B:$B,MATCH(B843,Leads!$A:$A,0)),""))</f>
        <v/>
      </c>
      <c r="E843" s="36"/>
      <c r="F843" s="36"/>
      <c r="G843" s="36"/>
      <c r="H843" s="35"/>
      <c r="I843" s="36"/>
    </row>
    <row r="844" customFormat="false" ht="15" hidden="false" customHeight="false" outlineLevel="0" collapsed="false">
      <c r="A844" s="35"/>
      <c r="B844" s="36"/>
      <c r="C844" s="11" t="str">
        <f aca="false">IF(B844="","",IFERROR(INDEX(Leads!$C:$C,MATCH(B844,Leads!$A:$A,0)),"ID not found"))</f>
        <v/>
      </c>
      <c r="D844" s="11" t="str">
        <f aca="false">IF(B844="","",IFERROR(INDEX(Leads!$B:$B,MATCH(B844,Leads!$A:$A,0)),""))</f>
        <v/>
      </c>
      <c r="E844" s="36"/>
      <c r="F844" s="36"/>
      <c r="G844" s="36"/>
      <c r="H844" s="35"/>
      <c r="I844" s="36"/>
    </row>
    <row r="845" customFormat="false" ht="15" hidden="false" customHeight="false" outlineLevel="0" collapsed="false">
      <c r="A845" s="35"/>
      <c r="B845" s="36"/>
      <c r="C845" s="11" t="str">
        <f aca="false">IF(B845="","",IFERROR(INDEX(Leads!$C:$C,MATCH(B845,Leads!$A:$A,0)),"ID not found"))</f>
        <v/>
      </c>
      <c r="D845" s="11" t="str">
        <f aca="false">IF(B845="","",IFERROR(INDEX(Leads!$B:$B,MATCH(B845,Leads!$A:$A,0)),""))</f>
        <v/>
      </c>
      <c r="E845" s="36"/>
      <c r="F845" s="36"/>
      <c r="G845" s="36"/>
      <c r="H845" s="35"/>
      <c r="I845" s="36"/>
    </row>
    <row r="846" customFormat="false" ht="15" hidden="false" customHeight="false" outlineLevel="0" collapsed="false">
      <c r="A846" s="35"/>
      <c r="B846" s="36"/>
      <c r="C846" s="11" t="str">
        <f aca="false">IF(B846="","",IFERROR(INDEX(Leads!$C:$C,MATCH(B846,Leads!$A:$A,0)),"ID not found"))</f>
        <v/>
      </c>
      <c r="D846" s="11" t="str">
        <f aca="false">IF(B846="","",IFERROR(INDEX(Leads!$B:$B,MATCH(B846,Leads!$A:$A,0)),""))</f>
        <v/>
      </c>
      <c r="E846" s="36"/>
      <c r="F846" s="36"/>
      <c r="G846" s="36"/>
      <c r="H846" s="35"/>
      <c r="I846" s="36"/>
    </row>
    <row r="847" customFormat="false" ht="15" hidden="false" customHeight="false" outlineLevel="0" collapsed="false">
      <c r="A847" s="35"/>
      <c r="B847" s="36"/>
      <c r="C847" s="11" t="str">
        <f aca="false">IF(B847="","",IFERROR(INDEX(Leads!$C:$C,MATCH(B847,Leads!$A:$A,0)),"ID not found"))</f>
        <v/>
      </c>
      <c r="D847" s="11" t="str">
        <f aca="false">IF(B847="","",IFERROR(INDEX(Leads!$B:$B,MATCH(B847,Leads!$A:$A,0)),""))</f>
        <v/>
      </c>
      <c r="E847" s="36"/>
      <c r="F847" s="36"/>
      <c r="G847" s="36"/>
      <c r="H847" s="35"/>
      <c r="I847" s="36"/>
    </row>
    <row r="848" customFormat="false" ht="15" hidden="false" customHeight="false" outlineLevel="0" collapsed="false">
      <c r="A848" s="35"/>
      <c r="B848" s="36"/>
      <c r="C848" s="11" t="str">
        <f aca="false">IF(B848="","",IFERROR(INDEX(Leads!$C:$C,MATCH(B848,Leads!$A:$A,0)),"ID not found"))</f>
        <v/>
      </c>
      <c r="D848" s="11" t="str">
        <f aca="false">IF(B848="","",IFERROR(INDEX(Leads!$B:$B,MATCH(B848,Leads!$A:$A,0)),""))</f>
        <v/>
      </c>
      <c r="E848" s="36"/>
      <c r="F848" s="36"/>
      <c r="G848" s="36"/>
      <c r="H848" s="35"/>
      <c r="I848" s="36"/>
    </row>
    <row r="849" customFormat="false" ht="15" hidden="false" customHeight="false" outlineLevel="0" collapsed="false">
      <c r="A849" s="35"/>
      <c r="B849" s="36"/>
      <c r="C849" s="11" t="str">
        <f aca="false">IF(B849="","",IFERROR(INDEX(Leads!$C:$C,MATCH(B849,Leads!$A:$A,0)),"ID not found"))</f>
        <v/>
      </c>
      <c r="D849" s="11" t="str">
        <f aca="false">IF(B849="","",IFERROR(INDEX(Leads!$B:$B,MATCH(B849,Leads!$A:$A,0)),""))</f>
        <v/>
      </c>
      <c r="E849" s="36"/>
      <c r="F849" s="36"/>
      <c r="G849" s="36"/>
      <c r="H849" s="35"/>
      <c r="I849" s="36"/>
    </row>
    <row r="850" customFormat="false" ht="15" hidden="false" customHeight="false" outlineLevel="0" collapsed="false">
      <c r="A850" s="35"/>
      <c r="B850" s="36"/>
      <c r="C850" s="11" t="str">
        <f aca="false">IF(B850="","",IFERROR(INDEX(Leads!$C:$C,MATCH(B850,Leads!$A:$A,0)),"ID not found"))</f>
        <v/>
      </c>
      <c r="D850" s="11" t="str">
        <f aca="false">IF(B850="","",IFERROR(INDEX(Leads!$B:$B,MATCH(B850,Leads!$A:$A,0)),""))</f>
        <v/>
      </c>
      <c r="E850" s="36"/>
      <c r="F850" s="36"/>
      <c r="G850" s="36"/>
      <c r="H850" s="35"/>
      <c r="I850" s="36"/>
    </row>
    <row r="851" customFormat="false" ht="15" hidden="false" customHeight="false" outlineLevel="0" collapsed="false">
      <c r="A851" s="35"/>
      <c r="B851" s="36"/>
      <c r="C851" s="11" t="str">
        <f aca="false">IF(B851="","",IFERROR(INDEX(Leads!$C:$C,MATCH(B851,Leads!$A:$A,0)),"ID not found"))</f>
        <v/>
      </c>
      <c r="D851" s="11" t="str">
        <f aca="false">IF(B851="","",IFERROR(INDEX(Leads!$B:$B,MATCH(B851,Leads!$A:$A,0)),""))</f>
        <v/>
      </c>
      <c r="E851" s="36"/>
      <c r="F851" s="36"/>
      <c r="G851" s="36"/>
      <c r="H851" s="35"/>
      <c r="I851" s="36"/>
    </row>
    <row r="852" customFormat="false" ht="15" hidden="false" customHeight="false" outlineLevel="0" collapsed="false">
      <c r="A852" s="35"/>
      <c r="B852" s="36"/>
      <c r="C852" s="11" t="str">
        <f aca="false">IF(B852="","",IFERROR(INDEX(Leads!$C:$C,MATCH(B852,Leads!$A:$A,0)),"ID not found"))</f>
        <v/>
      </c>
      <c r="D852" s="11" t="str">
        <f aca="false">IF(B852="","",IFERROR(INDEX(Leads!$B:$B,MATCH(B852,Leads!$A:$A,0)),""))</f>
        <v/>
      </c>
      <c r="E852" s="36"/>
      <c r="F852" s="36"/>
      <c r="G852" s="36"/>
      <c r="H852" s="35"/>
      <c r="I852" s="36"/>
    </row>
    <row r="853" customFormat="false" ht="15" hidden="false" customHeight="false" outlineLevel="0" collapsed="false">
      <c r="A853" s="35"/>
      <c r="B853" s="36"/>
      <c r="C853" s="11" t="str">
        <f aca="false">IF(B853="","",IFERROR(INDEX(Leads!$C:$C,MATCH(B853,Leads!$A:$A,0)),"ID not found"))</f>
        <v/>
      </c>
      <c r="D853" s="11" t="str">
        <f aca="false">IF(B853="","",IFERROR(INDEX(Leads!$B:$B,MATCH(B853,Leads!$A:$A,0)),""))</f>
        <v/>
      </c>
      <c r="E853" s="36"/>
      <c r="F853" s="36"/>
      <c r="G853" s="36"/>
      <c r="H853" s="35"/>
      <c r="I853" s="36"/>
    </row>
    <row r="854" customFormat="false" ht="15" hidden="false" customHeight="false" outlineLevel="0" collapsed="false">
      <c r="A854" s="35"/>
      <c r="B854" s="36"/>
      <c r="C854" s="11" t="str">
        <f aca="false">IF(B854="","",IFERROR(INDEX(Leads!$C:$C,MATCH(B854,Leads!$A:$A,0)),"ID not found"))</f>
        <v/>
      </c>
      <c r="D854" s="11" t="str">
        <f aca="false">IF(B854="","",IFERROR(INDEX(Leads!$B:$B,MATCH(B854,Leads!$A:$A,0)),""))</f>
        <v/>
      </c>
      <c r="E854" s="36"/>
      <c r="F854" s="36"/>
      <c r="G854" s="36"/>
      <c r="H854" s="35"/>
      <c r="I854" s="36"/>
    </row>
    <row r="855" customFormat="false" ht="15" hidden="false" customHeight="false" outlineLevel="0" collapsed="false">
      <c r="A855" s="35"/>
      <c r="B855" s="36"/>
      <c r="C855" s="11" t="str">
        <f aca="false">IF(B855="","",IFERROR(INDEX(Leads!$C:$C,MATCH(B855,Leads!$A:$A,0)),"ID not found"))</f>
        <v/>
      </c>
      <c r="D855" s="11" t="str">
        <f aca="false">IF(B855="","",IFERROR(INDEX(Leads!$B:$B,MATCH(B855,Leads!$A:$A,0)),""))</f>
        <v/>
      </c>
      <c r="E855" s="36"/>
      <c r="F855" s="36"/>
      <c r="G855" s="36"/>
      <c r="H855" s="35"/>
      <c r="I855" s="36"/>
    </row>
    <row r="856" customFormat="false" ht="15" hidden="false" customHeight="false" outlineLevel="0" collapsed="false">
      <c r="A856" s="35"/>
      <c r="B856" s="36"/>
      <c r="C856" s="11" t="str">
        <f aca="false">IF(B856="","",IFERROR(INDEX(Leads!$C:$C,MATCH(B856,Leads!$A:$A,0)),"ID not found"))</f>
        <v/>
      </c>
      <c r="D856" s="11" t="str">
        <f aca="false">IF(B856="","",IFERROR(INDEX(Leads!$B:$B,MATCH(B856,Leads!$A:$A,0)),""))</f>
        <v/>
      </c>
      <c r="E856" s="36"/>
      <c r="F856" s="36"/>
      <c r="G856" s="36"/>
      <c r="H856" s="35"/>
      <c r="I856" s="36"/>
    </row>
    <row r="857" customFormat="false" ht="15" hidden="false" customHeight="false" outlineLevel="0" collapsed="false">
      <c r="A857" s="35"/>
      <c r="B857" s="36"/>
      <c r="C857" s="11" t="str">
        <f aca="false">IF(B857="","",IFERROR(INDEX(Leads!$C:$C,MATCH(B857,Leads!$A:$A,0)),"ID not found"))</f>
        <v/>
      </c>
      <c r="D857" s="11" t="str">
        <f aca="false">IF(B857="","",IFERROR(INDEX(Leads!$B:$B,MATCH(B857,Leads!$A:$A,0)),""))</f>
        <v/>
      </c>
      <c r="E857" s="36"/>
      <c r="F857" s="36"/>
      <c r="G857" s="36"/>
      <c r="H857" s="35"/>
      <c r="I857" s="36"/>
    </row>
    <row r="858" customFormat="false" ht="15" hidden="false" customHeight="false" outlineLevel="0" collapsed="false">
      <c r="A858" s="35"/>
      <c r="B858" s="36"/>
      <c r="C858" s="11" t="str">
        <f aca="false">IF(B858="","",IFERROR(INDEX(Leads!$C:$C,MATCH(B858,Leads!$A:$A,0)),"ID not found"))</f>
        <v/>
      </c>
      <c r="D858" s="11" t="str">
        <f aca="false">IF(B858="","",IFERROR(INDEX(Leads!$B:$B,MATCH(B858,Leads!$A:$A,0)),""))</f>
        <v/>
      </c>
      <c r="E858" s="36"/>
      <c r="F858" s="36"/>
      <c r="G858" s="36"/>
      <c r="H858" s="35"/>
      <c r="I858" s="36"/>
    </row>
    <row r="859" customFormat="false" ht="15" hidden="false" customHeight="false" outlineLevel="0" collapsed="false">
      <c r="A859" s="35"/>
      <c r="B859" s="36"/>
      <c r="C859" s="11" t="str">
        <f aca="false">IF(B859="","",IFERROR(INDEX(Leads!$C:$C,MATCH(B859,Leads!$A:$A,0)),"ID not found"))</f>
        <v/>
      </c>
      <c r="D859" s="11" t="str">
        <f aca="false">IF(B859="","",IFERROR(INDEX(Leads!$B:$B,MATCH(B859,Leads!$A:$A,0)),""))</f>
        <v/>
      </c>
      <c r="E859" s="36"/>
      <c r="F859" s="36"/>
      <c r="G859" s="36"/>
      <c r="H859" s="35"/>
      <c r="I859" s="36"/>
    </row>
    <row r="860" customFormat="false" ht="15" hidden="false" customHeight="false" outlineLevel="0" collapsed="false">
      <c r="A860" s="35"/>
      <c r="B860" s="36"/>
      <c r="C860" s="11" t="str">
        <f aca="false">IF(B860="","",IFERROR(INDEX(Leads!$C:$C,MATCH(B860,Leads!$A:$A,0)),"ID not found"))</f>
        <v/>
      </c>
      <c r="D860" s="11" t="str">
        <f aca="false">IF(B860="","",IFERROR(INDEX(Leads!$B:$B,MATCH(B860,Leads!$A:$A,0)),""))</f>
        <v/>
      </c>
      <c r="E860" s="36"/>
      <c r="F860" s="36"/>
      <c r="G860" s="36"/>
      <c r="H860" s="35"/>
      <c r="I860" s="36"/>
    </row>
    <row r="861" customFormat="false" ht="15" hidden="false" customHeight="false" outlineLevel="0" collapsed="false">
      <c r="A861" s="35"/>
      <c r="B861" s="36"/>
      <c r="C861" s="11" t="str">
        <f aca="false">IF(B861="","",IFERROR(INDEX(Leads!$C:$C,MATCH(B861,Leads!$A:$A,0)),"ID not found"))</f>
        <v/>
      </c>
      <c r="D861" s="11" t="str">
        <f aca="false">IF(B861="","",IFERROR(INDEX(Leads!$B:$B,MATCH(B861,Leads!$A:$A,0)),""))</f>
        <v/>
      </c>
      <c r="E861" s="36"/>
      <c r="F861" s="36"/>
      <c r="G861" s="36"/>
      <c r="H861" s="35"/>
      <c r="I861" s="36"/>
    </row>
    <row r="862" customFormat="false" ht="15" hidden="false" customHeight="false" outlineLevel="0" collapsed="false">
      <c r="A862" s="35"/>
      <c r="B862" s="36"/>
      <c r="C862" s="11" t="str">
        <f aca="false">IF(B862="","",IFERROR(INDEX(Leads!$C:$C,MATCH(B862,Leads!$A:$A,0)),"ID not found"))</f>
        <v/>
      </c>
      <c r="D862" s="11" t="str">
        <f aca="false">IF(B862="","",IFERROR(INDEX(Leads!$B:$B,MATCH(B862,Leads!$A:$A,0)),""))</f>
        <v/>
      </c>
      <c r="E862" s="36"/>
      <c r="F862" s="36"/>
      <c r="G862" s="36"/>
      <c r="H862" s="35"/>
      <c r="I862" s="36"/>
    </row>
    <row r="863" customFormat="false" ht="15" hidden="false" customHeight="false" outlineLevel="0" collapsed="false">
      <c r="A863" s="35"/>
      <c r="B863" s="36"/>
      <c r="C863" s="11" t="str">
        <f aca="false">IF(B863="","",IFERROR(INDEX(Leads!$C:$C,MATCH(B863,Leads!$A:$A,0)),"ID not found"))</f>
        <v/>
      </c>
      <c r="D863" s="11" t="str">
        <f aca="false">IF(B863="","",IFERROR(INDEX(Leads!$B:$B,MATCH(B863,Leads!$A:$A,0)),""))</f>
        <v/>
      </c>
      <c r="E863" s="36"/>
      <c r="F863" s="36"/>
      <c r="G863" s="36"/>
      <c r="H863" s="35"/>
      <c r="I863" s="36"/>
    </row>
    <row r="864" customFormat="false" ht="15" hidden="false" customHeight="false" outlineLevel="0" collapsed="false">
      <c r="A864" s="35"/>
      <c r="B864" s="36"/>
      <c r="C864" s="11" t="str">
        <f aca="false">IF(B864="","",IFERROR(INDEX(Leads!$C:$C,MATCH(B864,Leads!$A:$A,0)),"ID not found"))</f>
        <v/>
      </c>
      <c r="D864" s="11" t="str">
        <f aca="false">IF(B864="","",IFERROR(INDEX(Leads!$B:$B,MATCH(B864,Leads!$A:$A,0)),""))</f>
        <v/>
      </c>
      <c r="E864" s="36"/>
      <c r="F864" s="36"/>
      <c r="G864" s="36"/>
      <c r="H864" s="35"/>
      <c r="I864" s="36"/>
    </row>
    <row r="865" customFormat="false" ht="15" hidden="false" customHeight="false" outlineLevel="0" collapsed="false">
      <c r="A865" s="35"/>
      <c r="B865" s="36"/>
      <c r="C865" s="11" t="str">
        <f aca="false">IF(B865="","",IFERROR(INDEX(Leads!$C:$C,MATCH(B865,Leads!$A:$A,0)),"ID not found"))</f>
        <v/>
      </c>
      <c r="D865" s="11" t="str">
        <f aca="false">IF(B865="","",IFERROR(INDEX(Leads!$B:$B,MATCH(B865,Leads!$A:$A,0)),""))</f>
        <v/>
      </c>
      <c r="E865" s="36"/>
      <c r="F865" s="36"/>
      <c r="G865" s="36"/>
      <c r="H865" s="35"/>
      <c r="I865" s="36"/>
    </row>
    <row r="866" customFormat="false" ht="15" hidden="false" customHeight="false" outlineLevel="0" collapsed="false">
      <c r="A866" s="35"/>
      <c r="B866" s="36"/>
      <c r="C866" s="11" t="str">
        <f aca="false">IF(B866="","",IFERROR(INDEX(Leads!$C:$C,MATCH(B866,Leads!$A:$A,0)),"ID not found"))</f>
        <v/>
      </c>
      <c r="D866" s="11" t="str">
        <f aca="false">IF(B866="","",IFERROR(INDEX(Leads!$B:$B,MATCH(B866,Leads!$A:$A,0)),""))</f>
        <v/>
      </c>
      <c r="E866" s="36"/>
      <c r="F866" s="36"/>
      <c r="G866" s="36"/>
      <c r="H866" s="35"/>
      <c r="I866" s="36"/>
    </row>
    <row r="867" customFormat="false" ht="15" hidden="false" customHeight="false" outlineLevel="0" collapsed="false">
      <c r="A867" s="35"/>
      <c r="B867" s="36"/>
      <c r="C867" s="11" t="str">
        <f aca="false">IF(B867="","",IFERROR(INDEX(Leads!$C:$C,MATCH(B867,Leads!$A:$A,0)),"ID not found"))</f>
        <v/>
      </c>
      <c r="D867" s="11" t="str">
        <f aca="false">IF(B867="","",IFERROR(INDEX(Leads!$B:$B,MATCH(B867,Leads!$A:$A,0)),""))</f>
        <v/>
      </c>
      <c r="E867" s="36"/>
      <c r="F867" s="36"/>
      <c r="G867" s="36"/>
      <c r="H867" s="35"/>
      <c r="I867" s="36"/>
    </row>
    <row r="868" customFormat="false" ht="15" hidden="false" customHeight="false" outlineLevel="0" collapsed="false">
      <c r="A868" s="35"/>
      <c r="B868" s="36"/>
      <c r="C868" s="11" t="str">
        <f aca="false">IF(B868="","",IFERROR(INDEX(Leads!$C:$C,MATCH(B868,Leads!$A:$A,0)),"ID not found"))</f>
        <v/>
      </c>
      <c r="D868" s="11" t="str">
        <f aca="false">IF(B868="","",IFERROR(INDEX(Leads!$B:$B,MATCH(B868,Leads!$A:$A,0)),""))</f>
        <v/>
      </c>
      <c r="E868" s="36"/>
      <c r="F868" s="36"/>
      <c r="G868" s="36"/>
      <c r="H868" s="35"/>
      <c r="I868" s="36"/>
    </row>
    <row r="869" customFormat="false" ht="15" hidden="false" customHeight="false" outlineLevel="0" collapsed="false">
      <c r="A869" s="35"/>
      <c r="B869" s="36"/>
      <c r="C869" s="11" t="str">
        <f aca="false">IF(B869="","",IFERROR(INDEX(Leads!$C:$C,MATCH(B869,Leads!$A:$A,0)),"ID not found"))</f>
        <v/>
      </c>
      <c r="D869" s="11" t="str">
        <f aca="false">IF(B869="","",IFERROR(INDEX(Leads!$B:$B,MATCH(B869,Leads!$A:$A,0)),""))</f>
        <v/>
      </c>
      <c r="E869" s="36"/>
      <c r="F869" s="36"/>
      <c r="G869" s="36"/>
      <c r="H869" s="35"/>
      <c r="I869" s="36"/>
    </row>
    <row r="870" customFormat="false" ht="15" hidden="false" customHeight="false" outlineLevel="0" collapsed="false">
      <c r="A870" s="35"/>
      <c r="B870" s="36"/>
      <c r="C870" s="11" t="str">
        <f aca="false">IF(B870="","",IFERROR(INDEX(Leads!$C:$C,MATCH(B870,Leads!$A:$A,0)),"ID not found"))</f>
        <v/>
      </c>
      <c r="D870" s="11" t="str">
        <f aca="false">IF(B870="","",IFERROR(INDEX(Leads!$B:$B,MATCH(B870,Leads!$A:$A,0)),""))</f>
        <v/>
      </c>
      <c r="E870" s="36"/>
      <c r="F870" s="36"/>
      <c r="G870" s="36"/>
      <c r="H870" s="35"/>
      <c r="I870" s="36"/>
    </row>
    <row r="871" customFormat="false" ht="15" hidden="false" customHeight="false" outlineLevel="0" collapsed="false">
      <c r="A871" s="35"/>
      <c r="B871" s="36"/>
      <c r="C871" s="11" t="str">
        <f aca="false">IF(B871="","",IFERROR(INDEX(Leads!$C:$C,MATCH(B871,Leads!$A:$A,0)),"ID not found"))</f>
        <v/>
      </c>
      <c r="D871" s="11" t="str">
        <f aca="false">IF(B871="","",IFERROR(INDEX(Leads!$B:$B,MATCH(B871,Leads!$A:$A,0)),""))</f>
        <v/>
      </c>
      <c r="E871" s="36"/>
      <c r="F871" s="36"/>
      <c r="G871" s="36"/>
      <c r="H871" s="35"/>
      <c r="I871" s="36"/>
    </row>
    <row r="872" customFormat="false" ht="15" hidden="false" customHeight="false" outlineLevel="0" collapsed="false">
      <c r="A872" s="35"/>
      <c r="B872" s="36"/>
      <c r="C872" s="11" t="str">
        <f aca="false">IF(B872="","",IFERROR(INDEX(Leads!$C:$C,MATCH(B872,Leads!$A:$A,0)),"ID not found"))</f>
        <v/>
      </c>
      <c r="D872" s="11" t="str">
        <f aca="false">IF(B872="","",IFERROR(INDEX(Leads!$B:$B,MATCH(B872,Leads!$A:$A,0)),""))</f>
        <v/>
      </c>
      <c r="E872" s="36"/>
      <c r="F872" s="36"/>
      <c r="G872" s="36"/>
      <c r="H872" s="35"/>
      <c r="I872" s="36"/>
    </row>
    <row r="873" customFormat="false" ht="15" hidden="false" customHeight="false" outlineLevel="0" collapsed="false">
      <c r="A873" s="35"/>
      <c r="B873" s="36"/>
      <c r="C873" s="11" t="str">
        <f aca="false">IF(B873="","",IFERROR(INDEX(Leads!$C:$C,MATCH(B873,Leads!$A:$A,0)),"ID not found"))</f>
        <v/>
      </c>
      <c r="D873" s="11" t="str">
        <f aca="false">IF(B873="","",IFERROR(INDEX(Leads!$B:$B,MATCH(B873,Leads!$A:$A,0)),""))</f>
        <v/>
      </c>
      <c r="E873" s="36"/>
      <c r="F873" s="36"/>
      <c r="G873" s="36"/>
      <c r="H873" s="35"/>
      <c r="I873" s="36"/>
    </row>
    <row r="874" customFormat="false" ht="15" hidden="false" customHeight="false" outlineLevel="0" collapsed="false">
      <c r="A874" s="35"/>
      <c r="B874" s="36"/>
      <c r="C874" s="11" t="str">
        <f aca="false">IF(B874="","",IFERROR(INDEX(Leads!$C:$C,MATCH(B874,Leads!$A:$A,0)),"ID not found"))</f>
        <v/>
      </c>
      <c r="D874" s="11" t="str">
        <f aca="false">IF(B874="","",IFERROR(INDEX(Leads!$B:$B,MATCH(B874,Leads!$A:$A,0)),""))</f>
        <v/>
      </c>
      <c r="E874" s="36"/>
      <c r="F874" s="36"/>
      <c r="G874" s="36"/>
      <c r="H874" s="35"/>
      <c r="I874" s="36"/>
    </row>
    <row r="875" customFormat="false" ht="15" hidden="false" customHeight="false" outlineLevel="0" collapsed="false">
      <c r="A875" s="35"/>
      <c r="B875" s="36"/>
      <c r="C875" s="11" t="str">
        <f aca="false">IF(B875="","",IFERROR(INDEX(Leads!$C:$C,MATCH(B875,Leads!$A:$A,0)),"ID not found"))</f>
        <v/>
      </c>
      <c r="D875" s="11" t="str">
        <f aca="false">IF(B875="","",IFERROR(INDEX(Leads!$B:$B,MATCH(B875,Leads!$A:$A,0)),""))</f>
        <v/>
      </c>
      <c r="E875" s="36"/>
      <c r="F875" s="36"/>
      <c r="G875" s="36"/>
      <c r="H875" s="35"/>
      <c r="I875" s="36"/>
    </row>
    <row r="876" customFormat="false" ht="15" hidden="false" customHeight="false" outlineLevel="0" collapsed="false">
      <c r="A876" s="35"/>
      <c r="B876" s="36"/>
      <c r="C876" s="11" t="str">
        <f aca="false">IF(B876="","",IFERROR(INDEX(Leads!$C:$C,MATCH(B876,Leads!$A:$A,0)),"ID not found"))</f>
        <v/>
      </c>
      <c r="D876" s="11" t="str">
        <f aca="false">IF(B876="","",IFERROR(INDEX(Leads!$B:$B,MATCH(B876,Leads!$A:$A,0)),""))</f>
        <v/>
      </c>
      <c r="E876" s="36"/>
      <c r="F876" s="36"/>
      <c r="G876" s="36"/>
      <c r="H876" s="35"/>
      <c r="I876" s="36"/>
    </row>
    <row r="877" customFormat="false" ht="15" hidden="false" customHeight="false" outlineLevel="0" collapsed="false">
      <c r="A877" s="35"/>
      <c r="B877" s="36"/>
      <c r="C877" s="11" t="str">
        <f aca="false">IF(B877="","",IFERROR(INDEX(Leads!$C:$C,MATCH(B877,Leads!$A:$A,0)),"ID not found"))</f>
        <v/>
      </c>
      <c r="D877" s="11" t="str">
        <f aca="false">IF(B877="","",IFERROR(INDEX(Leads!$B:$B,MATCH(B877,Leads!$A:$A,0)),""))</f>
        <v/>
      </c>
      <c r="E877" s="36"/>
      <c r="F877" s="36"/>
      <c r="G877" s="36"/>
      <c r="H877" s="35"/>
      <c r="I877" s="36"/>
    </row>
    <row r="878" customFormat="false" ht="15" hidden="false" customHeight="false" outlineLevel="0" collapsed="false">
      <c r="A878" s="35"/>
      <c r="B878" s="36"/>
      <c r="C878" s="11" t="str">
        <f aca="false">IF(B878="","",IFERROR(INDEX(Leads!$C:$C,MATCH(B878,Leads!$A:$A,0)),"ID not found"))</f>
        <v/>
      </c>
      <c r="D878" s="11" t="str">
        <f aca="false">IF(B878="","",IFERROR(INDEX(Leads!$B:$B,MATCH(B878,Leads!$A:$A,0)),""))</f>
        <v/>
      </c>
      <c r="E878" s="36"/>
      <c r="F878" s="36"/>
      <c r="G878" s="36"/>
      <c r="H878" s="35"/>
      <c r="I878" s="36"/>
    </row>
    <row r="879" customFormat="false" ht="15" hidden="false" customHeight="false" outlineLevel="0" collapsed="false">
      <c r="A879" s="35"/>
      <c r="B879" s="36"/>
      <c r="C879" s="11" t="str">
        <f aca="false">IF(B879="","",IFERROR(INDEX(Leads!$C:$C,MATCH(B879,Leads!$A:$A,0)),"ID not found"))</f>
        <v/>
      </c>
      <c r="D879" s="11" t="str">
        <f aca="false">IF(B879="","",IFERROR(INDEX(Leads!$B:$B,MATCH(B879,Leads!$A:$A,0)),""))</f>
        <v/>
      </c>
      <c r="E879" s="36"/>
      <c r="F879" s="36"/>
      <c r="G879" s="36"/>
      <c r="H879" s="35"/>
      <c r="I879" s="36"/>
    </row>
    <row r="880" customFormat="false" ht="15" hidden="false" customHeight="false" outlineLevel="0" collapsed="false">
      <c r="A880" s="35"/>
      <c r="B880" s="36"/>
      <c r="C880" s="11" t="str">
        <f aca="false">IF(B880="","",IFERROR(INDEX(Leads!$C:$C,MATCH(B880,Leads!$A:$A,0)),"ID not found"))</f>
        <v/>
      </c>
      <c r="D880" s="11" t="str">
        <f aca="false">IF(B880="","",IFERROR(INDEX(Leads!$B:$B,MATCH(B880,Leads!$A:$A,0)),""))</f>
        <v/>
      </c>
      <c r="E880" s="36"/>
      <c r="F880" s="36"/>
      <c r="G880" s="36"/>
      <c r="H880" s="35"/>
      <c r="I880" s="36"/>
    </row>
    <row r="881" customFormat="false" ht="15" hidden="false" customHeight="false" outlineLevel="0" collapsed="false">
      <c r="A881" s="35"/>
      <c r="B881" s="36"/>
      <c r="C881" s="11" t="str">
        <f aca="false">IF(B881="","",IFERROR(INDEX(Leads!$C:$C,MATCH(B881,Leads!$A:$A,0)),"ID not found"))</f>
        <v/>
      </c>
      <c r="D881" s="11" t="str">
        <f aca="false">IF(B881="","",IFERROR(INDEX(Leads!$B:$B,MATCH(B881,Leads!$A:$A,0)),""))</f>
        <v/>
      </c>
      <c r="E881" s="36"/>
      <c r="F881" s="36"/>
      <c r="G881" s="36"/>
      <c r="H881" s="35"/>
      <c r="I881" s="36"/>
    </row>
    <row r="882" customFormat="false" ht="15" hidden="false" customHeight="false" outlineLevel="0" collapsed="false">
      <c r="A882" s="35"/>
      <c r="B882" s="36"/>
      <c r="C882" s="11" t="str">
        <f aca="false">IF(B882="","",IFERROR(INDEX(Leads!$C:$C,MATCH(B882,Leads!$A:$A,0)),"ID not found"))</f>
        <v/>
      </c>
      <c r="D882" s="11" t="str">
        <f aca="false">IF(B882="","",IFERROR(INDEX(Leads!$B:$B,MATCH(B882,Leads!$A:$A,0)),""))</f>
        <v/>
      </c>
      <c r="E882" s="36"/>
      <c r="F882" s="36"/>
      <c r="G882" s="36"/>
      <c r="H882" s="35"/>
      <c r="I882" s="36"/>
    </row>
    <row r="883" customFormat="false" ht="15" hidden="false" customHeight="false" outlineLevel="0" collapsed="false">
      <c r="A883" s="35"/>
      <c r="B883" s="36"/>
      <c r="C883" s="11" t="str">
        <f aca="false">IF(B883="","",IFERROR(INDEX(Leads!$C:$C,MATCH(B883,Leads!$A:$A,0)),"ID not found"))</f>
        <v/>
      </c>
      <c r="D883" s="11" t="str">
        <f aca="false">IF(B883="","",IFERROR(INDEX(Leads!$B:$B,MATCH(B883,Leads!$A:$A,0)),""))</f>
        <v/>
      </c>
      <c r="E883" s="36"/>
      <c r="F883" s="36"/>
      <c r="G883" s="36"/>
      <c r="H883" s="35"/>
      <c r="I883" s="36"/>
    </row>
    <row r="884" customFormat="false" ht="15" hidden="false" customHeight="false" outlineLevel="0" collapsed="false">
      <c r="A884" s="35"/>
      <c r="B884" s="36"/>
      <c r="C884" s="11" t="str">
        <f aca="false">IF(B884="","",IFERROR(INDEX(Leads!$C:$C,MATCH(B884,Leads!$A:$A,0)),"ID not found"))</f>
        <v/>
      </c>
      <c r="D884" s="11" t="str">
        <f aca="false">IF(B884="","",IFERROR(INDEX(Leads!$B:$B,MATCH(B884,Leads!$A:$A,0)),""))</f>
        <v/>
      </c>
      <c r="E884" s="36"/>
      <c r="F884" s="36"/>
      <c r="G884" s="36"/>
      <c r="H884" s="35"/>
      <c r="I884" s="36"/>
    </row>
    <row r="885" customFormat="false" ht="15" hidden="false" customHeight="false" outlineLevel="0" collapsed="false">
      <c r="A885" s="35"/>
      <c r="B885" s="36"/>
      <c r="C885" s="11" t="str">
        <f aca="false">IF(B885="","",IFERROR(INDEX(Leads!$C:$C,MATCH(B885,Leads!$A:$A,0)),"ID not found"))</f>
        <v/>
      </c>
      <c r="D885" s="11" t="str">
        <f aca="false">IF(B885="","",IFERROR(INDEX(Leads!$B:$B,MATCH(B885,Leads!$A:$A,0)),""))</f>
        <v/>
      </c>
      <c r="E885" s="36"/>
      <c r="F885" s="36"/>
      <c r="G885" s="36"/>
      <c r="H885" s="35"/>
      <c r="I885" s="36"/>
    </row>
    <row r="886" customFormat="false" ht="15" hidden="false" customHeight="false" outlineLevel="0" collapsed="false">
      <c r="A886" s="35"/>
      <c r="B886" s="36"/>
      <c r="C886" s="11" t="str">
        <f aca="false">IF(B886="","",IFERROR(INDEX(Leads!$C:$C,MATCH(B886,Leads!$A:$A,0)),"ID not found"))</f>
        <v/>
      </c>
      <c r="D886" s="11" t="str">
        <f aca="false">IF(B886="","",IFERROR(INDEX(Leads!$B:$B,MATCH(B886,Leads!$A:$A,0)),""))</f>
        <v/>
      </c>
      <c r="E886" s="36"/>
      <c r="F886" s="36"/>
      <c r="G886" s="36"/>
      <c r="H886" s="35"/>
      <c r="I886" s="36"/>
    </row>
    <row r="887" customFormat="false" ht="15" hidden="false" customHeight="false" outlineLevel="0" collapsed="false">
      <c r="A887" s="35"/>
      <c r="B887" s="36"/>
      <c r="C887" s="11" t="str">
        <f aca="false">IF(B887="","",IFERROR(INDEX(Leads!$C:$C,MATCH(B887,Leads!$A:$A,0)),"ID not found"))</f>
        <v/>
      </c>
      <c r="D887" s="11" t="str">
        <f aca="false">IF(B887="","",IFERROR(INDEX(Leads!$B:$B,MATCH(B887,Leads!$A:$A,0)),""))</f>
        <v/>
      </c>
      <c r="E887" s="36"/>
      <c r="F887" s="36"/>
      <c r="G887" s="36"/>
      <c r="H887" s="35"/>
      <c r="I887" s="36"/>
    </row>
    <row r="888" customFormat="false" ht="15" hidden="false" customHeight="false" outlineLevel="0" collapsed="false">
      <c r="A888" s="35"/>
      <c r="B888" s="36"/>
      <c r="C888" s="11" t="str">
        <f aca="false">IF(B888="","",IFERROR(INDEX(Leads!$C:$C,MATCH(B888,Leads!$A:$A,0)),"ID not found"))</f>
        <v/>
      </c>
      <c r="D888" s="11" t="str">
        <f aca="false">IF(B888="","",IFERROR(INDEX(Leads!$B:$B,MATCH(B888,Leads!$A:$A,0)),""))</f>
        <v/>
      </c>
      <c r="E888" s="36"/>
      <c r="F888" s="36"/>
      <c r="G888" s="36"/>
      <c r="H888" s="35"/>
      <c r="I888" s="36"/>
    </row>
    <row r="889" customFormat="false" ht="15" hidden="false" customHeight="false" outlineLevel="0" collapsed="false">
      <c r="A889" s="35"/>
      <c r="B889" s="36"/>
      <c r="C889" s="11" t="str">
        <f aca="false">IF(B889="","",IFERROR(INDEX(Leads!$C:$C,MATCH(B889,Leads!$A:$A,0)),"ID not found"))</f>
        <v/>
      </c>
      <c r="D889" s="11" t="str">
        <f aca="false">IF(B889="","",IFERROR(INDEX(Leads!$B:$B,MATCH(B889,Leads!$A:$A,0)),""))</f>
        <v/>
      </c>
      <c r="E889" s="36"/>
      <c r="F889" s="36"/>
      <c r="G889" s="36"/>
      <c r="H889" s="35"/>
      <c r="I889" s="36"/>
    </row>
    <row r="890" customFormat="false" ht="15" hidden="false" customHeight="false" outlineLevel="0" collapsed="false">
      <c r="A890" s="35"/>
      <c r="B890" s="36"/>
      <c r="C890" s="11" t="str">
        <f aca="false">IF(B890="","",IFERROR(INDEX(Leads!$C:$C,MATCH(B890,Leads!$A:$A,0)),"ID not found"))</f>
        <v/>
      </c>
      <c r="D890" s="11" t="str">
        <f aca="false">IF(B890="","",IFERROR(INDEX(Leads!$B:$B,MATCH(B890,Leads!$A:$A,0)),""))</f>
        <v/>
      </c>
      <c r="E890" s="36"/>
      <c r="F890" s="36"/>
      <c r="G890" s="36"/>
      <c r="H890" s="35"/>
      <c r="I890" s="36"/>
    </row>
    <row r="891" customFormat="false" ht="15" hidden="false" customHeight="false" outlineLevel="0" collapsed="false">
      <c r="A891" s="35"/>
      <c r="B891" s="36"/>
      <c r="C891" s="11" t="str">
        <f aca="false">IF(B891="","",IFERROR(INDEX(Leads!$C:$C,MATCH(B891,Leads!$A:$A,0)),"ID not found"))</f>
        <v/>
      </c>
      <c r="D891" s="11" t="str">
        <f aca="false">IF(B891="","",IFERROR(INDEX(Leads!$B:$B,MATCH(B891,Leads!$A:$A,0)),""))</f>
        <v/>
      </c>
      <c r="E891" s="36"/>
      <c r="F891" s="36"/>
      <c r="G891" s="36"/>
      <c r="H891" s="35"/>
      <c r="I891" s="36"/>
    </row>
    <row r="892" customFormat="false" ht="15" hidden="false" customHeight="false" outlineLevel="0" collapsed="false">
      <c r="A892" s="35"/>
      <c r="B892" s="36"/>
      <c r="C892" s="11" t="str">
        <f aca="false">IF(B892="","",IFERROR(INDEX(Leads!$C:$C,MATCH(B892,Leads!$A:$A,0)),"ID not found"))</f>
        <v/>
      </c>
      <c r="D892" s="11" t="str">
        <f aca="false">IF(B892="","",IFERROR(INDEX(Leads!$B:$B,MATCH(B892,Leads!$A:$A,0)),""))</f>
        <v/>
      </c>
      <c r="E892" s="36"/>
      <c r="F892" s="36"/>
      <c r="G892" s="36"/>
      <c r="H892" s="35"/>
      <c r="I892" s="36"/>
    </row>
    <row r="893" customFormat="false" ht="15" hidden="false" customHeight="false" outlineLevel="0" collapsed="false">
      <c r="A893" s="35"/>
      <c r="B893" s="36"/>
      <c r="C893" s="11" t="str">
        <f aca="false">IF(B893="","",IFERROR(INDEX(Leads!$C:$C,MATCH(B893,Leads!$A:$A,0)),"ID not found"))</f>
        <v/>
      </c>
      <c r="D893" s="11" t="str">
        <f aca="false">IF(B893="","",IFERROR(INDEX(Leads!$B:$B,MATCH(B893,Leads!$A:$A,0)),""))</f>
        <v/>
      </c>
      <c r="E893" s="36"/>
      <c r="F893" s="36"/>
      <c r="G893" s="36"/>
      <c r="H893" s="35"/>
      <c r="I893" s="36"/>
    </row>
    <row r="894" customFormat="false" ht="15" hidden="false" customHeight="false" outlineLevel="0" collapsed="false">
      <c r="A894" s="35"/>
      <c r="B894" s="36"/>
      <c r="C894" s="11" t="str">
        <f aca="false">IF(B894="","",IFERROR(INDEX(Leads!$C:$C,MATCH(B894,Leads!$A:$A,0)),"ID not found"))</f>
        <v/>
      </c>
      <c r="D894" s="11" t="str">
        <f aca="false">IF(B894="","",IFERROR(INDEX(Leads!$B:$B,MATCH(B894,Leads!$A:$A,0)),""))</f>
        <v/>
      </c>
      <c r="E894" s="36"/>
      <c r="F894" s="36"/>
      <c r="G894" s="36"/>
      <c r="H894" s="35"/>
      <c r="I894" s="36"/>
    </row>
    <row r="895" customFormat="false" ht="15" hidden="false" customHeight="false" outlineLevel="0" collapsed="false">
      <c r="A895" s="35"/>
      <c r="B895" s="36"/>
      <c r="C895" s="11" t="str">
        <f aca="false">IF(B895="","",IFERROR(INDEX(Leads!$C:$C,MATCH(B895,Leads!$A:$A,0)),"ID not found"))</f>
        <v/>
      </c>
      <c r="D895" s="11" t="str">
        <f aca="false">IF(B895="","",IFERROR(INDEX(Leads!$B:$B,MATCH(B895,Leads!$A:$A,0)),""))</f>
        <v/>
      </c>
      <c r="E895" s="36"/>
      <c r="F895" s="36"/>
      <c r="G895" s="36"/>
      <c r="H895" s="35"/>
      <c r="I895" s="36"/>
    </row>
    <row r="896" customFormat="false" ht="15" hidden="false" customHeight="false" outlineLevel="0" collapsed="false">
      <c r="A896" s="35"/>
      <c r="B896" s="36"/>
      <c r="C896" s="11" t="str">
        <f aca="false">IF(B896="","",IFERROR(INDEX(Leads!$C:$C,MATCH(B896,Leads!$A:$A,0)),"ID not found"))</f>
        <v/>
      </c>
      <c r="D896" s="11" t="str">
        <f aca="false">IF(B896="","",IFERROR(INDEX(Leads!$B:$B,MATCH(B896,Leads!$A:$A,0)),""))</f>
        <v/>
      </c>
      <c r="E896" s="36"/>
      <c r="F896" s="36"/>
      <c r="G896" s="36"/>
      <c r="H896" s="35"/>
      <c r="I896" s="36"/>
    </row>
    <row r="897" customFormat="false" ht="15" hidden="false" customHeight="false" outlineLevel="0" collapsed="false">
      <c r="A897" s="35"/>
      <c r="B897" s="36"/>
      <c r="C897" s="11" t="str">
        <f aca="false">IF(B897="","",IFERROR(INDEX(Leads!$C:$C,MATCH(B897,Leads!$A:$A,0)),"ID not found"))</f>
        <v/>
      </c>
      <c r="D897" s="11" t="str">
        <f aca="false">IF(B897="","",IFERROR(INDEX(Leads!$B:$B,MATCH(B897,Leads!$A:$A,0)),""))</f>
        <v/>
      </c>
      <c r="E897" s="36"/>
      <c r="F897" s="36"/>
      <c r="G897" s="36"/>
      <c r="H897" s="35"/>
      <c r="I897" s="36"/>
    </row>
    <row r="898" customFormat="false" ht="15" hidden="false" customHeight="false" outlineLevel="0" collapsed="false">
      <c r="A898" s="35"/>
      <c r="B898" s="36"/>
      <c r="C898" s="11" t="str">
        <f aca="false">IF(B898="","",IFERROR(INDEX(Leads!$C:$C,MATCH(B898,Leads!$A:$A,0)),"ID not found"))</f>
        <v/>
      </c>
      <c r="D898" s="11" t="str">
        <f aca="false">IF(B898="","",IFERROR(INDEX(Leads!$B:$B,MATCH(B898,Leads!$A:$A,0)),""))</f>
        <v/>
      </c>
      <c r="E898" s="36"/>
      <c r="F898" s="36"/>
      <c r="G898" s="36"/>
      <c r="H898" s="35"/>
      <c r="I898" s="36"/>
    </row>
    <row r="899" customFormat="false" ht="15" hidden="false" customHeight="false" outlineLevel="0" collapsed="false">
      <c r="A899" s="35"/>
      <c r="B899" s="36"/>
      <c r="C899" s="11" t="str">
        <f aca="false">IF(B899="","",IFERROR(INDEX(Leads!$C:$C,MATCH(B899,Leads!$A:$A,0)),"ID not found"))</f>
        <v/>
      </c>
      <c r="D899" s="11" t="str">
        <f aca="false">IF(B899="","",IFERROR(INDEX(Leads!$B:$B,MATCH(B899,Leads!$A:$A,0)),""))</f>
        <v/>
      </c>
      <c r="E899" s="36"/>
      <c r="F899" s="36"/>
      <c r="G899" s="36"/>
      <c r="H899" s="35"/>
      <c r="I899" s="36"/>
    </row>
    <row r="900" customFormat="false" ht="15" hidden="false" customHeight="false" outlineLevel="0" collapsed="false">
      <c r="A900" s="35"/>
      <c r="B900" s="36"/>
      <c r="C900" s="11" t="str">
        <f aca="false">IF(B900="","",IFERROR(INDEX(Leads!$C:$C,MATCH(B900,Leads!$A:$A,0)),"ID not found"))</f>
        <v/>
      </c>
      <c r="D900" s="11" t="str">
        <f aca="false">IF(B900="","",IFERROR(INDEX(Leads!$B:$B,MATCH(B900,Leads!$A:$A,0)),""))</f>
        <v/>
      </c>
      <c r="E900" s="36"/>
      <c r="F900" s="36"/>
      <c r="G900" s="36"/>
      <c r="H900" s="35"/>
      <c r="I900" s="36"/>
    </row>
    <row r="901" customFormat="false" ht="15" hidden="false" customHeight="false" outlineLevel="0" collapsed="false">
      <c r="A901" s="35"/>
      <c r="B901" s="36"/>
      <c r="C901" s="11" t="str">
        <f aca="false">IF(B901="","",IFERROR(INDEX(Leads!$C:$C,MATCH(B901,Leads!$A:$A,0)),"ID not found"))</f>
        <v/>
      </c>
      <c r="D901" s="11" t="str">
        <f aca="false">IF(B901="","",IFERROR(INDEX(Leads!$B:$B,MATCH(B901,Leads!$A:$A,0)),""))</f>
        <v/>
      </c>
      <c r="E901" s="36"/>
      <c r="F901" s="36"/>
      <c r="G901" s="36"/>
      <c r="H901" s="35"/>
      <c r="I901" s="36"/>
    </row>
    <row r="902" customFormat="false" ht="15" hidden="false" customHeight="false" outlineLevel="0" collapsed="false">
      <c r="A902" s="35"/>
      <c r="B902" s="36"/>
      <c r="C902" s="11" t="str">
        <f aca="false">IF(B902="","",IFERROR(INDEX(Leads!$C:$C,MATCH(B902,Leads!$A:$A,0)),"ID not found"))</f>
        <v/>
      </c>
      <c r="D902" s="11" t="str">
        <f aca="false">IF(B902="","",IFERROR(INDEX(Leads!$B:$B,MATCH(B902,Leads!$A:$A,0)),""))</f>
        <v/>
      </c>
      <c r="E902" s="36"/>
      <c r="F902" s="36"/>
      <c r="G902" s="36"/>
      <c r="H902" s="35"/>
      <c r="I902" s="36"/>
    </row>
    <row r="903" customFormat="false" ht="15" hidden="false" customHeight="false" outlineLevel="0" collapsed="false">
      <c r="A903" s="35"/>
      <c r="B903" s="36"/>
      <c r="C903" s="11" t="str">
        <f aca="false">IF(B903="","",IFERROR(INDEX(Leads!$C:$C,MATCH(B903,Leads!$A:$A,0)),"ID not found"))</f>
        <v/>
      </c>
      <c r="D903" s="11" t="str">
        <f aca="false">IF(B903="","",IFERROR(INDEX(Leads!$B:$B,MATCH(B903,Leads!$A:$A,0)),""))</f>
        <v/>
      </c>
      <c r="E903" s="36"/>
      <c r="F903" s="36"/>
      <c r="G903" s="36"/>
      <c r="H903" s="35"/>
      <c r="I903" s="36"/>
    </row>
    <row r="904" customFormat="false" ht="15" hidden="false" customHeight="false" outlineLevel="0" collapsed="false">
      <c r="A904" s="35"/>
      <c r="B904" s="36"/>
      <c r="C904" s="11" t="str">
        <f aca="false">IF(B904="","",IFERROR(INDEX(Leads!$C:$C,MATCH(B904,Leads!$A:$A,0)),"ID not found"))</f>
        <v/>
      </c>
      <c r="D904" s="11" t="str">
        <f aca="false">IF(B904="","",IFERROR(INDEX(Leads!$B:$B,MATCH(B904,Leads!$A:$A,0)),""))</f>
        <v/>
      </c>
      <c r="E904" s="36"/>
      <c r="F904" s="36"/>
      <c r="G904" s="36"/>
      <c r="H904" s="35"/>
      <c r="I904" s="36"/>
    </row>
    <row r="905" customFormat="false" ht="15" hidden="false" customHeight="false" outlineLevel="0" collapsed="false">
      <c r="A905" s="35"/>
      <c r="B905" s="36"/>
      <c r="C905" s="11" t="str">
        <f aca="false">IF(B905="","",IFERROR(INDEX(Leads!$C:$C,MATCH(B905,Leads!$A:$A,0)),"ID not found"))</f>
        <v/>
      </c>
      <c r="D905" s="11" t="str">
        <f aca="false">IF(B905="","",IFERROR(INDEX(Leads!$B:$B,MATCH(B905,Leads!$A:$A,0)),""))</f>
        <v/>
      </c>
      <c r="E905" s="36"/>
      <c r="F905" s="36"/>
      <c r="G905" s="36"/>
      <c r="H905" s="35"/>
      <c r="I905" s="36"/>
    </row>
    <row r="906" customFormat="false" ht="15" hidden="false" customHeight="false" outlineLevel="0" collapsed="false">
      <c r="A906" s="35"/>
      <c r="B906" s="36"/>
      <c r="C906" s="11" t="str">
        <f aca="false">IF(B906="","",IFERROR(INDEX(Leads!$C:$C,MATCH(B906,Leads!$A:$A,0)),"ID not found"))</f>
        <v/>
      </c>
      <c r="D906" s="11" t="str">
        <f aca="false">IF(B906="","",IFERROR(INDEX(Leads!$B:$B,MATCH(B906,Leads!$A:$A,0)),""))</f>
        <v/>
      </c>
      <c r="E906" s="36"/>
      <c r="F906" s="36"/>
      <c r="G906" s="36"/>
      <c r="H906" s="35"/>
      <c r="I906" s="36"/>
    </row>
    <row r="907" customFormat="false" ht="15" hidden="false" customHeight="false" outlineLevel="0" collapsed="false">
      <c r="A907" s="35"/>
      <c r="B907" s="36"/>
      <c r="C907" s="11" t="str">
        <f aca="false">IF(B907="","",IFERROR(INDEX(Leads!$C:$C,MATCH(B907,Leads!$A:$A,0)),"ID not found"))</f>
        <v/>
      </c>
      <c r="D907" s="11" t="str">
        <f aca="false">IF(B907="","",IFERROR(INDEX(Leads!$B:$B,MATCH(B907,Leads!$A:$A,0)),""))</f>
        <v/>
      </c>
      <c r="E907" s="36"/>
      <c r="F907" s="36"/>
      <c r="G907" s="36"/>
      <c r="H907" s="35"/>
      <c r="I907" s="36"/>
    </row>
    <row r="908" customFormat="false" ht="15" hidden="false" customHeight="false" outlineLevel="0" collapsed="false">
      <c r="A908" s="35"/>
      <c r="B908" s="36"/>
      <c r="C908" s="11" t="str">
        <f aca="false">IF(B908="","",IFERROR(INDEX(Leads!$C:$C,MATCH(B908,Leads!$A:$A,0)),"ID not found"))</f>
        <v/>
      </c>
      <c r="D908" s="11" t="str">
        <f aca="false">IF(B908="","",IFERROR(INDEX(Leads!$B:$B,MATCH(B908,Leads!$A:$A,0)),""))</f>
        <v/>
      </c>
      <c r="E908" s="36"/>
      <c r="F908" s="36"/>
      <c r="G908" s="36"/>
      <c r="H908" s="35"/>
      <c r="I908" s="36"/>
    </row>
    <row r="909" customFormat="false" ht="15" hidden="false" customHeight="false" outlineLevel="0" collapsed="false">
      <c r="A909" s="35"/>
      <c r="B909" s="36"/>
      <c r="C909" s="11" t="str">
        <f aca="false">IF(B909="","",IFERROR(INDEX(Leads!$C:$C,MATCH(B909,Leads!$A:$A,0)),"ID not found"))</f>
        <v/>
      </c>
      <c r="D909" s="11" t="str">
        <f aca="false">IF(B909="","",IFERROR(INDEX(Leads!$B:$B,MATCH(B909,Leads!$A:$A,0)),""))</f>
        <v/>
      </c>
      <c r="E909" s="36"/>
      <c r="F909" s="36"/>
      <c r="G909" s="36"/>
      <c r="H909" s="35"/>
      <c r="I909" s="36"/>
    </row>
    <row r="910" customFormat="false" ht="15" hidden="false" customHeight="false" outlineLevel="0" collapsed="false">
      <c r="A910" s="35"/>
      <c r="B910" s="36"/>
      <c r="C910" s="11" t="str">
        <f aca="false">IF(B910="","",IFERROR(INDEX(Leads!$C:$C,MATCH(B910,Leads!$A:$A,0)),"ID not found"))</f>
        <v/>
      </c>
      <c r="D910" s="11" t="str">
        <f aca="false">IF(B910="","",IFERROR(INDEX(Leads!$B:$B,MATCH(B910,Leads!$A:$A,0)),""))</f>
        <v/>
      </c>
      <c r="E910" s="36"/>
      <c r="F910" s="36"/>
      <c r="G910" s="36"/>
      <c r="H910" s="35"/>
      <c r="I910" s="36"/>
    </row>
    <row r="911" customFormat="false" ht="15" hidden="false" customHeight="false" outlineLevel="0" collapsed="false">
      <c r="A911" s="35"/>
      <c r="B911" s="36"/>
      <c r="C911" s="11" t="str">
        <f aca="false">IF(B911="","",IFERROR(INDEX(Leads!$C:$C,MATCH(B911,Leads!$A:$A,0)),"ID not found"))</f>
        <v/>
      </c>
      <c r="D911" s="11" t="str">
        <f aca="false">IF(B911="","",IFERROR(INDEX(Leads!$B:$B,MATCH(B911,Leads!$A:$A,0)),""))</f>
        <v/>
      </c>
      <c r="E911" s="36"/>
      <c r="F911" s="36"/>
      <c r="G911" s="36"/>
      <c r="H911" s="35"/>
      <c r="I911" s="36"/>
    </row>
    <row r="912" customFormat="false" ht="15" hidden="false" customHeight="false" outlineLevel="0" collapsed="false">
      <c r="A912" s="35"/>
      <c r="B912" s="36"/>
      <c r="C912" s="11" t="str">
        <f aca="false">IF(B912="","",IFERROR(INDEX(Leads!$C:$C,MATCH(B912,Leads!$A:$A,0)),"ID not found"))</f>
        <v/>
      </c>
      <c r="D912" s="11" t="str">
        <f aca="false">IF(B912="","",IFERROR(INDEX(Leads!$B:$B,MATCH(B912,Leads!$A:$A,0)),""))</f>
        <v/>
      </c>
      <c r="E912" s="36"/>
      <c r="F912" s="36"/>
      <c r="G912" s="36"/>
      <c r="H912" s="35"/>
      <c r="I912" s="36"/>
    </row>
    <row r="913" customFormat="false" ht="15" hidden="false" customHeight="false" outlineLevel="0" collapsed="false">
      <c r="A913" s="35"/>
      <c r="B913" s="36"/>
      <c r="C913" s="11" t="str">
        <f aca="false">IF(B913="","",IFERROR(INDEX(Leads!$C:$C,MATCH(B913,Leads!$A:$A,0)),"ID not found"))</f>
        <v/>
      </c>
      <c r="D913" s="11" t="str">
        <f aca="false">IF(B913="","",IFERROR(INDEX(Leads!$B:$B,MATCH(B913,Leads!$A:$A,0)),""))</f>
        <v/>
      </c>
      <c r="E913" s="36"/>
      <c r="F913" s="36"/>
      <c r="G913" s="36"/>
      <c r="H913" s="35"/>
      <c r="I913" s="36"/>
    </row>
    <row r="914" customFormat="false" ht="15" hidden="false" customHeight="false" outlineLevel="0" collapsed="false">
      <c r="A914" s="35"/>
      <c r="B914" s="36"/>
      <c r="C914" s="11" t="str">
        <f aca="false">IF(B914="","",IFERROR(INDEX(Leads!$C:$C,MATCH(B914,Leads!$A:$A,0)),"ID not found"))</f>
        <v/>
      </c>
      <c r="D914" s="11" t="str">
        <f aca="false">IF(B914="","",IFERROR(INDEX(Leads!$B:$B,MATCH(B914,Leads!$A:$A,0)),""))</f>
        <v/>
      </c>
      <c r="E914" s="36"/>
      <c r="F914" s="36"/>
      <c r="G914" s="36"/>
      <c r="H914" s="35"/>
      <c r="I914" s="36"/>
    </row>
    <row r="915" customFormat="false" ht="15" hidden="false" customHeight="false" outlineLevel="0" collapsed="false">
      <c r="A915" s="35"/>
      <c r="B915" s="36"/>
      <c r="C915" s="11" t="str">
        <f aca="false">IF(B915="","",IFERROR(INDEX(Leads!$C:$C,MATCH(B915,Leads!$A:$A,0)),"ID not found"))</f>
        <v/>
      </c>
      <c r="D915" s="11" t="str">
        <f aca="false">IF(B915="","",IFERROR(INDEX(Leads!$B:$B,MATCH(B915,Leads!$A:$A,0)),""))</f>
        <v/>
      </c>
      <c r="E915" s="36"/>
      <c r="F915" s="36"/>
      <c r="G915" s="36"/>
      <c r="H915" s="35"/>
      <c r="I915" s="36"/>
    </row>
    <row r="916" customFormat="false" ht="15" hidden="false" customHeight="false" outlineLevel="0" collapsed="false">
      <c r="A916" s="35"/>
      <c r="B916" s="36"/>
      <c r="C916" s="11" t="str">
        <f aca="false">IF(B916="","",IFERROR(INDEX(Leads!$C:$C,MATCH(B916,Leads!$A:$A,0)),"ID not found"))</f>
        <v/>
      </c>
      <c r="D916" s="11" t="str">
        <f aca="false">IF(B916="","",IFERROR(INDEX(Leads!$B:$B,MATCH(B916,Leads!$A:$A,0)),""))</f>
        <v/>
      </c>
      <c r="E916" s="36"/>
      <c r="F916" s="36"/>
      <c r="G916" s="36"/>
      <c r="H916" s="35"/>
      <c r="I916" s="36"/>
    </row>
    <row r="917" customFormat="false" ht="15" hidden="false" customHeight="false" outlineLevel="0" collapsed="false">
      <c r="A917" s="35"/>
      <c r="B917" s="36"/>
      <c r="C917" s="11" t="str">
        <f aca="false">IF(B917="","",IFERROR(INDEX(Leads!$C:$C,MATCH(B917,Leads!$A:$A,0)),"ID not found"))</f>
        <v/>
      </c>
      <c r="D917" s="11" t="str">
        <f aca="false">IF(B917="","",IFERROR(INDEX(Leads!$B:$B,MATCH(B917,Leads!$A:$A,0)),""))</f>
        <v/>
      </c>
      <c r="E917" s="36"/>
      <c r="F917" s="36"/>
      <c r="G917" s="36"/>
      <c r="H917" s="35"/>
      <c r="I917" s="36"/>
    </row>
    <row r="918" customFormat="false" ht="15" hidden="false" customHeight="false" outlineLevel="0" collapsed="false">
      <c r="A918" s="35"/>
      <c r="B918" s="36"/>
      <c r="C918" s="11" t="str">
        <f aca="false">IF(B918="","",IFERROR(INDEX(Leads!$C:$C,MATCH(B918,Leads!$A:$A,0)),"ID not found"))</f>
        <v/>
      </c>
      <c r="D918" s="11" t="str">
        <f aca="false">IF(B918="","",IFERROR(INDEX(Leads!$B:$B,MATCH(B918,Leads!$A:$A,0)),""))</f>
        <v/>
      </c>
      <c r="E918" s="36"/>
      <c r="F918" s="36"/>
      <c r="G918" s="36"/>
      <c r="H918" s="35"/>
      <c r="I918" s="36"/>
    </row>
    <row r="919" customFormat="false" ht="15" hidden="false" customHeight="false" outlineLevel="0" collapsed="false">
      <c r="A919" s="35"/>
      <c r="B919" s="36"/>
      <c r="C919" s="11" t="str">
        <f aca="false">IF(B919="","",IFERROR(INDEX(Leads!$C:$C,MATCH(B919,Leads!$A:$A,0)),"ID not found"))</f>
        <v/>
      </c>
      <c r="D919" s="11" t="str">
        <f aca="false">IF(B919="","",IFERROR(INDEX(Leads!$B:$B,MATCH(B919,Leads!$A:$A,0)),""))</f>
        <v/>
      </c>
      <c r="E919" s="36"/>
      <c r="F919" s="36"/>
      <c r="G919" s="36"/>
      <c r="H919" s="35"/>
      <c r="I919" s="36"/>
    </row>
    <row r="920" customFormat="false" ht="15" hidden="false" customHeight="false" outlineLevel="0" collapsed="false">
      <c r="A920" s="35"/>
      <c r="B920" s="36"/>
      <c r="C920" s="11" t="str">
        <f aca="false">IF(B920="","",IFERROR(INDEX(Leads!$C:$C,MATCH(B920,Leads!$A:$A,0)),"ID not found"))</f>
        <v/>
      </c>
      <c r="D920" s="11" t="str">
        <f aca="false">IF(B920="","",IFERROR(INDEX(Leads!$B:$B,MATCH(B920,Leads!$A:$A,0)),""))</f>
        <v/>
      </c>
      <c r="E920" s="36"/>
      <c r="F920" s="36"/>
      <c r="G920" s="36"/>
      <c r="H920" s="35"/>
      <c r="I920" s="36"/>
    </row>
    <row r="921" customFormat="false" ht="15" hidden="false" customHeight="false" outlineLevel="0" collapsed="false">
      <c r="A921" s="35"/>
      <c r="B921" s="36"/>
      <c r="C921" s="11" t="str">
        <f aca="false">IF(B921="","",IFERROR(INDEX(Leads!$C:$C,MATCH(B921,Leads!$A:$A,0)),"ID not found"))</f>
        <v/>
      </c>
      <c r="D921" s="11" t="str">
        <f aca="false">IF(B921="","",IFERROR(INDEX(Leads!$B:$B,MATCH(B921,Leads!$A:$A,0)),""))</f>
        <v/>
      </c>
      <c r="E921" s="36"/>
      <c r="F921" s="36"/>
      <c r="G921" s="36"/>
      <c r="H921" s="35"/>
      <c r="I921" s="36"/>
    </row>
    <row r="922" customFormat="false" ht="15" hidden="false" customHeight="false" outlineLevel="0" collapsed="false">
      <c r="A922" s="35"/>
      <c r="B922" s="36"/>
      <c r="C922" s="11" t="str">
        <f aca="false">IF(B922="","",IFERROR(INDEX(Leads!$C:$C,MATCH(B922,Leads!$A:$A,0)),"ID not found"))</f>
        <v/>
      </c>
      <c r="D922" s="11" t="str">
        <f aca="false">IF(B922="","",IFERROR(INDEX(Leads!$B:$B,MATCH(B922,Leads!$A:$A,0)),""))</f>
        <v/>
      </c>
      <c r="E922" s="36"/>
      <c r="F922" s="36"/>
      <c r="G922" s="36"/>
      <c r="H922" s="35"/>
      <c r="I922" s="36"/>
    </row>
    <row r="923" customFormat="false" ht="15" hidden="false" customHeight="false" outlineLevel="0" collapsed="false">
      <c r="A923" s="35"/>
      <c r="B923" s="36"/>
      <c r="C923" s="11" t="str">
        <f aca="false">IF(B923="","",IFERROR(INDEX(Leads!$C:$C,MATCH(B923,Leads!$A:$A,0)),"ID not found"))</f>
        <v/>
      </c>
      <c r="D923" s="11" t="str">
        <f aca="false">IF(B923="","",IFERROR(INDEX(Leads!$B:$B,MATCH(B923,Leads!$A:$A,0)),""))</f>
        <v/>
      </c>
      <c r="E923" s="36"/>
      <c r="F923" s="36"/>
      <c r="G923" s="36"/>
      <c r="H923" s="35"/>
      <c r="I923" s="36"/>
    </row>
    <row r="924" customFormat="false" ht="15" hidden="false" customHeight="false" outlineLevel="0" collapsed="false">
      <c r="A924" s="35"/>
      <c r="B924" s="36"/>
      <c r="C924" s="11" t="str">
        <f aca="false">IF(B924="","",IFERROR(INDEX(Leads!$C:$C,MATCH(B924,Leads!$A:$A,0)),"ID not found"))</f>
        <v/>
      </c>
      <c r="D924" s="11" t="str">
        <f aca="false">IF(B924="","",IFERROR(INDEX(Leads!$B:$B,MATCH(B924,Leads!$A:$A,0)),""))</f>
        <v/>
      </c>
      <c r="E924" s="36"/>
      <c r="F924" s="36"/>
      <c r="G924" s="36"/>
      <c r="H924" s="35"/>
      <c r="I924" s="36"/>
    </row>
    <row r="925" customFormat="false" ht="15" hidden="false" customHeight="false" outlineLevel="0" collapsed="false">
      <c r="A925" s="35"/>
      <c r="B925" s="36"/>
      <c r="C925" s="11" t="str">
        <f aca="false">IF(B925="","",IFERROR(INDEX(Leads!$C:$C,MATCH(B925,Leads!$A:$A,0)),"ID not found"))</f>
        <v/>
      </c>
      <c r="D925" s="11" t="str">
        <f aca="false">IF(B925="","",IFERROR(INDEX(Leads!$B:$B,MATCH(B925,Leads!$A:$A,0)),""))</f>
        <v/>
      </c>
      <c r="E925" s="36"/>
      <c r="F925" s="36"/>
      <c r="G925" s="36"/>
      <c r="H925" s="35"/>
      <c r="I925" s="36"/>
    </row>
    <row r="926" customFormat="false" ht="15" hidden="false" customHeight="false" outlineLevel="0" collapsed="false">
      <c r="A926" s="35"/>
      <c r="B926" s="36"/>
      <c r="C926" s="11" t="str">
        <f aca="false">IF(B926="","",IFERROR(INDEX(Leads!$C:$C,MATCH(B926,Leads!$A:$A,0)),"ID not found"))</f>
        <v/>
      </c>
      <c r="D926" s="11" t="str">
        <f aca="false">IF(B926="","",IFERROR(INDEX(Leads!$B:$B,MATCH(B926,Leads!$A:$A,0)),""))</f>
        <v/>
      </c>
      <c r="E926" s="36"/>
      <c r="F926" s="36"/>
      <c r="G926" s="36"/>
      <c r="H926" s="35"/>
      <c r="I926" s="36"/>
    </row>
    <row r="927" customFormat="false" ht="15" hidden="false" customHeight="false" outlineLevel="0" collapsed="false">
      <c r="A927" s="35"/>
      <c r="B927" s="36"/>
      <c r="C927" s="11" t="str">
        <f aca="false">IF(B927="","",IFERROR(INDEX(Leads!$C:$C,MATCH(B927,Leads!$A:$A,0)),"ID not found"))</f>
        <v/>
      </c>
      <c r="D927" s="11" t="str">
        <f aca="false">IF(B927="","",IFERROR(INDEX(Leads!$B:$B,MATCH(B927,Leads!$A:$A,0)),""))</f>
        <v/>
      </c>
      <c r="E927" s="36"/>
      <c r="F927" s="36"/>
      <c r="G927" s="36"/>
      <c r="H927" s="35"/>
      <c r="I927" s="36"/>
    </row>
    <row r="928" customFormat="false" ht="15" hidden="false" customHeight="false" outlineLevel="0" collapsed="false">
      <c r="A928" s="35"/>
      <c r="B928" s="36"/>
      <c r="C928" s="11" t="str">
        <f aca="false">IF(B928="","",IFERROR(INDEX(Leads!$C:$C,MATCH(B928,Leads!$A:$A,0)),"ID not found"))</f>
        <v/>
      </c>
      <c r="D928" s="11" t="str">
        <f aca="false">IF(B928="","",IFERROR(INDEX(Leads!$B:$B,MATCH(B928,Leads!$A:$A,0)),""))</f>
        <v/>
      </c>
      <c r="E928" s="36"/>
      <c r="F928" s="36"/>
      <c r="G928" s="36"/>
      <c r="H928" s="35"/>
      <c r="I928" s="36"/>
    </row>
    <row r="929" customFormat="false" ht="15" hidden="false" customHeight="false" outlineLevel="0" collapsed="false">
      <c r="A929" s="35"/>
      <c r="B929" s="36"/>
      <c r="C929" s="11" t="str">
        <f aca="false">IF(B929="","",IFERROR(INDEX(Leads!$C:$C,MATCH(B929,Leads!$A:$A,0)),"ID not found"))</f>
        <v/>
      </c>
      <c r="D929" s="11" t="str">
        <f aca="false">IF(B929="","",IFERROR(INDEX(Leads!$B:$B,MATCH(B929,Leads!$A:$A,0)),""))</f>
        <v/>
      </c>
      <c r="E929" s="36"/>
      <c r="F929" s="36"/>
      <c r="G929" s="36"/>
      <c r="H929" s="35"/>
      <c r="I929" s="36"/>
    </row>
    <row r="930" customFormat="false" ht="15" hidden="false" customHeight="false" outlineLevel="0" collapsed="false">
      <c r="A930" s="35"/>
      <c r="B930" s="36"/>
      <c r="C930" s="11" t="str">
        <f aca="false">IF(B930="","",IFERROR(INDEX(Leads!$C:$C,MATCH(B930,Leads!$A:$A,0)),"ID not found"))</f>
        <v/>
      </c>
      <c r="D930" s="11" t="str">
        <f aca="false">IF(B930="","",IFERROR(INDEX(Leads!$B:$B,MATCH(B930,Leads!$A:$A,0)),""))</f>
        <v/>
      </c>
      <c r="E930" s="36"/>
      <c r="F930" s="36"/>
      <c r="G930" s="36"/>
      <c r="H930" s="35"/>
      <c r="I930" s="36"/>
    </row>
    <row r="931" customFormat="false" ht="15" hidden="false" customHeight="false" outlineLevel="0" collapsed="false">
      <c r="A931" s="35"/>
      <c r="B931" s="36"/>
      <c r="C931" s="11" t="str">
        <f aca="false">IF(B931="","",IFERROR(INDEX(Leads!$C:$C,MATCH(B931,Leads!$A:$A,0)),"ID not found"))</f>
        <v/>
      </c>
      <c r="D931" s="11" t="str">
        <f aca="false">IF(B931="","",IFERROR(INDEX(Leads!$B:$B,MATCH(B931,Leads!$A:$A,0)),""))</f>
        <v/>
      </c>
      <c r="E931" s="36"/>
      <c r="F931" s="36"/>
      <c r="G931" s="36"/>
      <c r="H931" s="35"/>
      <c r="I931" s="36"/>
    </row>
    <row r="932" customFormat="false" ht="15" hidden="false" customHeight="false" outlineLevel="0" collapsed="false">
      <c r="A932" s="35"/>
      <c r="B932" s="36"/>
      <c r="C932" s="11" t="str">
        <f aca="false">IF(B932="","",IFERROR(INDEX(Leads!$C:$C,MATCH(B932,Leads!$A:$A,0)),"ID not found"))</f>
        <v/>
      </c>
      <c r="D932" s="11" t="str">
        <f aca="false">IF(B932="","",IFERROR(INDEX(Leads!$B:$B,MATCH(B932,Leads!$A:$A,0)),""))</f>
        <v/>
      </c>
      <c r="E932" s="36"/>
      <c r="F932" s="36"/>
      <c r="G932" s="36"/>
      <c r="H932" s="35"/>
      <c r="I932" s="36"/>
    </row>
    <row r="933" customFormat="false" ht="15" hidden="false" customHeight="false" outlineLevel="0" collapsed="false">
      <c r="A933" s="35"/>
      <c r="B933" s="36"/>
      <c r="C933" s="11" t="str">
        <f aca="false">IF(B933="","",IFERROR(INDEX(Leads!$C:$C,MATCH(B933,Leads!$A:$A,0)),"ID not found"))</f>
        <v/>
      </c>
      <c r="D933" s="11" t="str">
        <f aca="false">IF(B933="","",IFERROR(INDEX(Leads!$B:$B,MATCH(B933,Leads!$A:$A,0)),""))</f>
        <v/>
      </c>
      <c r="E933" s="36"/>
      <c r="F933" s="36"/>
      <c r="G933" s="36"/>
      <c r="H933" s="35"/>
      <c r="I933" s="36"/>
    </row>
    <row r="934" customFormat="false" ht="15" hidden="false" customHeight="false" outlineLevel="0" collapsed="false">
      <c r="A934" s="35"/>
      <c r="B934" s="36"/>
      <c r="C934" s="11" t="str">
        <f aca="false">IF(B934="","",IFERROR(INDEX(Leads!$C:$C,MATCH(B934,Leads!$A:$A,0)),"ID not found"))</f>
        <v/>
      </c>
      <c r="D934" s="11" t="str">
        <f aca="false">IF(B934="","",IFERROR(INDEX(Leads!$B:$B,MATCH(B934,Leads!$A:$A,0)),""))</f>
        <v/>
      </c>
      <c r="E934" s="36"/>
      <c r="F934" s="36"/>
      <c r="G934" s="36"/>
      <c r="H934" s="35"/>
      <c r="I934" s="36"/>
    </row>
    <row r="935" customFormat="false" ht="15" hidden="false" customHeight="false" outlineLevel="0" collapsed="false">
      <c r="A935" s="35"/>
      <c r="B935" s="36"/>
      <c r="C935" s="11" t="str">
        <f aca="false">IF(B935="","",IFERROR(INDEX(Leads!$C:$C,MATCH(B935,Leads!$A:$A,0)),"ID not found"))</f>
        <v/>
      </c>
      <c r="D935" s="11" t="str">
        <f aca="false">IF(B935="","",IFERROR(INDEX(Leads!$B:$B,MATCH(B935,Leads!$A:$A,0)),""))</f>
        <v/>
      </c>
      <c r="E935" s="36"/>
      <c r="F935" s="36"/>
      <c r="G935" s="36"/>
      <c r="H935" s="35"/>
      <c r="I935" s="36"/>
    </row>
    <row r="936" customFormat="false" ht="15" hidden="false" customHeight="false" outlineLevel="0" collapsed="false">
      <c r="A936" s="35"/>
      <c r="B936" s="36"/>
      <c r="C936" s="11" t="str">
        <f aca="false">IF(B936="","",IFERROR(INDEX(Leads!$C:$C,MATCH(B936,Leads!$A:$A,0)),"ID not found"))</f>
        <v/>
      </c>
      <c r="D936" s="11" t="str">
        <f aca="false">IF(B936="","",IFERROR(INDEX(Leads!$B:$B,MATCH(B936,Leads!$A:$A,0)),""))</f>
        <v/>
      </c>
      <c r="E936" s="36"/>
      <c r="F936" s="36"/>
      <c r="G936" s="36"/>
      <c r="H936" s="35"/>
      <c r="I936" s="36"/>
    </row>
    <row r="937" customFormat="false" ht="15" hidden="false" customHeight="false" outlineLevel="0" collapsed="false">
      <c r="A937" s="35"/>
      <c r="B937" s="36"/>
      <c r="C937" s="11" t="str">
        <f aca="false">IF(B937="","",IFERROR(INDEX(Leads!$C:$C,MATCH(B937,Leads!$A:$A,0)),"ID not found"))</f>
        <v/>
      </c>
      <c r="D937" s="11" t="str">
        <f aca="false">IF(B937="","",IFERROR(INDEX(Leads!$B:$B,MATCH(B937,Leads!$A:$A,0)),""))</f>
        <v/>
      </c>
      <c r="E937" s="36"/>
      <c r="F937" s="36"/>
      <c r="G937" s="36"/>
      <c r="H937" s="35"/>
      <c r="I937" s="36"/>
    </row>
    <row r="938" customFormat="false" ht="15" hidden="false" customHeight="false" outlineLevel="0" collapsed="false">
      <c r="A938" s="35"/>
      <c r="B938" s="36"/>
      <c r="C938" s="11" t="str">
        <f aca="false">IF(B938="","",IFERROR(INDEX(Leads!$C:$C,MATCH(B938,Leads!$A:$A,0)),"ID not found"))</f>
        <v/>
      </c>
      <c r="D938" s="11" t="str">
        <f aca="false">IF(B938="","",IFERROR(INDEX(Leads!$B:$B,MATCH(B938,Leads!$A:$A,0)),""))</f>
        <v/>
      </c>
      <c r="E938" s="36"/>
      <c r="F938" s="36"/>
      <c r="G938" s="36"/>
      <c r="H938" s="35"/>
      <c r="I938" s="36"/>
    </row>
    <row r="939" customFormat="false" ht="15" hidden="false" customHeight="false" outlineLevel="0" collapsed="false">
      <c r="A939" s="35"/>
      <c r="B939" s="36"/>
      <c r="C939" s="11" t="str">
        <f aca="false">IF(B939="","",IFERROR(INDEX(Leads!$C:$C,MATCH(B939,Leads!$A:$A,0)),"ID not found"))</f>
        <v/>
      </c>
      <c r="D939" s="11" t="str">
        <f aca="false">IF(B939="","",IFERROR(INDEX(Leads!$B:$B,MATCH(B939,Leads!$A:$A,0)),""))</f>
        <v/>
      </c>
      <c r="E939" s="36"/>
      <c r="F939" s="36"/>
      <c r="G939" s="36"/>
      <c r="H939" s="35"/>
      <c r="I939" s="36"/>
    </row>
    <row r="940" customFormat="false" ht="15" hidden="false" customHeight="false" outlineLevel="0" collapsed="false">
      <c r="A940" s="35"/>
      <c r="B940" s="36"/>
      <c r="C940" s="11" t="str">
        <f aca="false">IF(B940="","",IFERROR(INDEX(Leads!$C:$C,MATCH(B940,Leads!$A:$A,0)),"ID not found"))</f>
        <v/>
      </c>
      <c r="D940" s="11" t="str">
        <f aca="false">IF(B940="","",IFERROR(INDEX(Leads!$B:$B,MATCH(B940,Leads!$A:$A,0)),""))</f>
        <v/>
      </c>
      <c r="E940" s="36"/>
      <c r="F940" s="36"/>
      <c r="G940" s="36"/>
      <c r="H940" s="35"/>
      <c r="I940" s="36"/>
    </row>
    <row r="941" customFormat="false" ht="15" hidden="false" customHeight="false" outlineLevel="0" collapsed="false">
      <c r="A941" s="35"/>
      <c r="B941" s="36"/>
      <c r="C941" s="11" t="str">
        <f aca="false">IF(B941="","",IFERROR(INDEX(Leads!$C:$C,MATCH(B941,Leads!$A:$A,0)),"ID not found"))</f>
        <v/>
      </c>
      <c r="D941" s="11" t="str">
        <f aca="false">IF(B941="","",IFERROR(INDEX(Leads!$B:$B,MATCH(B941,Leads!$A:$A,0)),""))</f>
        <v/>
      </c>
      <c r="E941" s="36"/>
      <c r="F941" s="36"/>
      <c r="G941" s="36"/>
      <c r="H941" s="35"/>
      <c r="I941" s="36"/>
    </row>
    <row r="942" customFormat="false" ht="15" hidden="false" customHeight="false" outlineLevel="0" collapsed="false">
      <c r="A942" s="35"/>
      <c r="B942" s="36"/>
      <c r="C942" s="11" t="str">
        <f aca="false">IF(B942="","",IFERROR(INDEX(Leads!$C:$C,MATCH(B942,Leads!$A:$A,0)),"ID not found"))</f>
        <v/>
      </c>
      <c r="D942" s="11" t="str">
        <f aca="false">IF(B942="","",IFERROR(INDEX(Leads!$B:$B,MATCH(B942,Leads!$A:$A,0)),""))</f>
        <v/>
      </c>
      <c r="E942" s="36"/>
      <c r="F942" s="36"/>
      <c r="G942" s="36"/>
      <c r="H942" s="35"/>
      <c r="I942" s="36"/>
    </row>
    <row r="943" customFormat="false" ht="15" hidden="false" customHeight="false" outlineLevel="0" collapsed="false">
      <c r="A943" s="35"/>
      <c r="B943" s="36"/>
      <c r="C943" s="11" t="str">
        <f aca="false">IF(B943="","",IFERROR(INDEX(Leads!$C:$C,MATCH(B943,Leads!$A:$A,0)),"ID not found"))</f>
        <v/>
      </c>
      <c r="D943" s="11" t="str">
        <f aca="false">IF(B943="","",IFERROR(INDEX(Leads!$B:$B,MATCH(B943,Leads!$A:$A,0)),""))</f>
        <v/>
      </c>
      <c r="E943" s="36"/>
      <c r="F943" s="36"/>
      <c r="G943" s="36"/>
      <c r="H943" s="35"/>
      <c r="I943" s="36"/>
    </row>
    <row r="944" customFormat="false" ht="15" hidden="false" customHeight="false" outlineLevel="0" collapsed="false">
      <c r="A944" s="35"/>
      <c r="B944" s="36"/>
      <c r="C944" s="11" t="str">
        <f aca="false">IF(B944="","",IFERROR(INDEX(Leads!$C:$C,MATCH(B944,Leads!$A:$A,0)),"ID not found"))</f>
        <v/>
      </c>
      <c r="D944" s="11" t="str">
        <f aca="false">IF(B944="","",IFERROR(INDEX(Leads!$B:$B,MATCH(B944,Leads!$A:$A,0)),""))</f>
        <v/>
      </c>
      <c r="E944" s="36"/>
      <c r="F944" s="36"/>
      <c r="G944" s="36"/>
      <c r="H944" s="35"/>
      <c r="I944" s="36"/>
    </row>
    <row r="945" customFormat="false" ht="15" hidden="false" customHeight="false" outlineLevel="0" collapsed="false">
      <c r="A945" s="35"/>
      <c r="B945" s="36"/>
      <c r="C945" s="11" t="str">
        <f aca="false">IF(B945="","",IFERROR(INDEX(Leads!$C:$C,MATCH(B945,Leads!$A:$A,0)),"ID not found"))</f>
        <v/>
      </c>
      <c r="D945" s="11" t="str">
        <f aca="false">IF(B945="","",IFERROR(INDEX(Leads!$B:$B,MATCH(B945,Leads!$A:$A,0)),""))</f>
        <v/>
      </c>
      <c r="E945" s="36"/>
      <c r="F945" s="36"/>
      <c r="G945" s="36"/>
      <c r="H945" s="35"/>
      <c r="I945" s="36"/>
    </row>
    <row r="946" customFormat="false" ht="15" hidden="false" customHeight="false" outlineLevel="0" collapsed="false">
      <c r="A946" s="35"/>
      <c r="B946" s="36"/>
      <c r="C946" s="11" t="str">
        <f aca="false">IF(B946="","",IFERROR(INDEX(Leads!$C:$C,MATCH(B946,Leads!$A:$A,0)),"ID not found"))</f>
        <v/>
      </c>
      <c r="D946" s="11" t="str">
        <f aca="false">IF(B946="","",IFERROR(INDEX(Leads!$B:$B,MATCH(B946,Leads!$A:$A,0)),""))</f>
        <v/>
      </c>
      <c r="E946" s="36"/>
      <c r="F946" s="36"/>
      <c r="G946" s="36"/>
      <c r="H946" s="35"/>
      <c r="I946" s="36"/>
    </row>
    <row r="947" customFormat="false" ht="15" hidden="false" customHeight="false" outlineLevel="0" collapsed="false">
      <c r="A947" s="35"/>
      <c r="B947" s="36"/>
      <c r="C947" s="11" t="str">
        <f aca="false">IF(B947="","",IFERROR(INDEX(Leads!$C:$C,MATCH(B947,Leads!$A:$A,0)),"ID not found"))</f>
        <v/>
      </c>
      <c r="D947" s="11" t="str">
        <f aca="false">IF(B947="","",IFERROR(INDEX(Leads!$B:$B,MATCH(B947,Leads!$A:$A,0)),""))</f>
        <v/>
      </c>
      <c r="E947" s="36"/>
      <c r="F947" s="36"/>
      <c r="G947" s="36"/>
      <c r="H947" s="35"/>
      <c r="I947" s="36"/>
    </row>
    <row r="948" customFormat="false" ht="15" hidden="false" customHeight="false" outlineLevel="0" collapsed="false">
      <c r="A948" s="35"/>
      <c r="B948" s="36"/>
      <c r="C948" s="11" t="str">
        <f aca="false">IF(B948="","",IFERROR(INDEX(Leads!$C:$C,MATCH(B948,Leads!$A:$A,0)),"ID not found"))</f>
        <v/>
      </c>
      <c r="D948" s="11" t="str">
        <f aca="false">IF(B948="","",IFERROR(INDEX(Leads!$B:$B,MATCH(B948,Leads!$A:$A,0)),""))</f>
        <v/>
      </c>
      <c r="E948" s="36"/>
      <c r="F948" s="36"/>
      <c r="G948" s="36"/>
      <c r="H948" s="35"/>
      <c r="I948" s="36"/>
    </row>
    <row r="949" customFormat="false" ht="15" hidden="false" customHeight="false" outlineLevel="0" collapsed="false">
      <c r="A949" s="35"/>
      <c r="B949" s="36"/>
      <c r="C949" s="11" t="str">
        <f aca="false">IF(B949="","",IFERROR(INDEX(Leads!$C:$C,MATCH(B949,Leads!$A:$A,0)),"ID not found"))</f>
        <v/>
      </c>
      <c r="D949" s="11" t="str">
        <f aca="false">IF(B949="","",IFERROR(INDEX(Leads!$B:$B,MATCH(B949,Leads!$A:$A,0)),""))</f>
        <v/>
      </c>
      <c r="E949" s="36"/>
      <c r="F949" s="36"/>
      <c r="G949" s="36"/>
      <c r="H949" s="35"/>
      <c r="I949" s="36"/>
    </row>
    <row r="950" customFormat="false" ht="15" hidden="false" customHeight="false" outlineLevel="0" collapsed="false">
      <c r="A950" s="35"/>
      <c r="B950" s="36"/>
      <c r="C950" s="11" t="str">
        <f aca="false">IF(B950="","",IFERROR(INDEX(Leads!$C:$C,MATCH(B950,Leads!$A:$A,0)),"ID not found"))</f>
        <v/>
      </c>
      <c r="D950" s="11" t="str">
        <f aca="false">IF(B950="","",IFERROR(INDEX(Leads!$B:$B,MATCH(B950,Leads!$A:$A,0)),""))</f>
        <v/>
      </c>
      <c r="E950" s="36"/>
      <c r="F950" s="36"/>
      <c r="G950" s="36"/>
      <c r="H950" s="35"/>
      <c r="I950" s="36"/>
    </row>
    <row r="951" customFormat="false" ht="15" hidden="false" customHeight="false" outlineLevel="0" collapsed="false">
      <c r="A951" s="35"/>
      <c r="B951" s="36"/>
      <c r="C951" s="11" t="str">
        <f aca="false">IF(B951="","",IFERROR(INDEX(Leads!$C:$C,MATCH(B951,Leads!$A:$A,0)),"ID not found"))</f>
        <v/>
      </c>
      <c r="D951" s="11" t="str">
        <f aca="false">IF(B951="","",IFERROR(INDEX(Leads!$B:$B,MATCH(B951,Leads!$A:$A,0)),""))</f>
        <v/>
      </c>
      <c r="E951" s="36"/>
      <c r="F951" s="36"/>
      <c r="G951" s="36"/>
      <c r="H951" s="35"/>
      <c r="I951" s="36"/>
    </row>
    <row r="952" customFormat="false" ht="15" hidden="false" customHeight="false" outlineLevel="0" collapsed="false">
      <c r="A952" s="35"/>
      <c r="B952" s="36"/>
      <c r="C952" s="11" t="str">
        <f aca="false">IF(B952="","",IFERROR(INDEX(Leads!$C:$C,MATCH(B952,Leads!$A:$A,0)),"ID not found"))</f>
        <v/>
      </c>
      <c r="D952" s="11" t="str">
        <f aca="false">IF(B952="","",IFERROR(INDEX(Leads!$B:$B,MATCH(B952,Leads!$A:$A,0)),""))</f>
        <v/>
      </c>
      <c r="E952" s="36"/>
      <c r="F952" s="36"/>
      <c r="G952" s="36"/>
      <c r="H952" s="35"/>
      <c r="I952" s="36"/>
    </row>
    <row r="953" customFormat="false" ht="15" hidden="false" customHeight="false" outlineLevel="0" collapsed="false">
      <c r="A953" s="35"/>
      <c r="B953" s="36"/>
      <c r="C953" s="11" t="str">
        <f aca="false">IF(B953="","",IFERROR(INDEX(Leads!$C:$C,MATCH(B953,Leads!$A:$A,0)),"ID not found"))</f>
        <v/>
      </c>
      <c r="D953" s="11" t="str">
        <f aca="false">IF(B953="","",IFERROR(INDEX(Leads!$B:$B,MATCH(B953,Leads!$A:$A,0)),""))</f>
        <v/>
      </c>
      <c r="E953" s="36"/>
      <c r="F953" s="36"/>
      <c r="G953" s="36"/>
      <c r="H953" s="35"/>
      <c r="I953" s="36"/>
    </row>
    <row r="954" customFormat="false" ht="15" hidden="false" customHeight="false" outlineLevel="0" collapsed="false">
      <c r="A954" s="35"/>
      <c r="B954" s="36"/>
      <c r="C954" s="11" t="str">
        <f aca="false">IF(B954="","",IFERROR(INDEX(Leads!$C:$C,MATCH(B954,Leads!$A:$A,0)),"ID not found"))</f>
        <v/>
      </c>
      <c r="D954" s="11" t="str">
        <f aca="false">IF(B954="","",IFERROR(INDEX(Leads!$B:$B,MATCH(B954,Leads!$A:$A,0)),""))</f>
        <v/>
      </c>
      <c r="E954" s="36"/>
      <c r="F954" s="36"/>
      <c r="G954" s="36"/>
      <c r="H954" s="35"/>
      <c r="I954" s="36"/>
    </row>
    <row r="955" customFormat="false" ht="15" hidden="false" customHeight="false" outlineLevel="0" collapsed="false">
      <c r="A955" s="35"/>
      <c r="B955" s="36"/>
      <c r="C955" s="11" t="str">
        <f aca="false">IF(B955="","",IFERROR(INDEX(Leads!$C:$C,MATCH(B955,Leads!$A:$A,0)),"ID not found"))</f>
        <v/>
      </c>
      <c r="D955" s="11" t="str">
        <f aca="false">IF(B955="","",IFERROR(INDEX(Leads!$B:$B,MATCH(B955,Leads!$A:$A,0)),""))</f>
        <v/>
      </c>
      <c r="E955" s="36"/>
      <c r="F955" s="36"/>
      <c r="G955" s="36"/>
      <c r="H955" s="35"/>
      <c r="I955" s="36"/>
    </row>
    <row r="956" customFormat="false" ht="15" hidden="false" customHeight="false" outlineLevel="0" collapsed="false">
      <c r="A956" s="35"/>
      <c r="B956" s="36"/>
      <c r="C956" s="11" t="str">
        <f aca="false">IF(B956="","",IFERROR(INDEX(Leads!$C:$C,MATCH(B956,Leads!$A:$A,0)),"ID not found"))</f>
        <v/>
      </c>
      <c r="D956" s="11" t="str">
        <f aca="false">IF(B956="","",IFERROR(INDEX(Leads!$B:$B,MATCH(B956,Leads!$A:$A,0)),""))</f>
        <v/>
      </c>
      <c r="E956" s="36"/>
      <c r="F956" s="36"/>
      <c r="G956" s="36"/>
      <c r="H956" s="35"/>
      <c r="I956" s="36"/>
    </row>
    <row r="957" customFormat="false" ht="15" hidden="false" customHeight="false" outlineLevel="0" collapsed="false">
      <c r="A957" s="35"/>
      <c r="B957" s="36"/>
      <c r="C957" s="11" t="str">
        <f aca="false">IF(B957="","",IFERROR(INDEX(Leads!$C:$C,MATCH(B957,Leads!$A:$A,0)),"ID not found"))</f>
        <v/>
      </c>
      <c r="D957" s="11" t="str">
        <f aca="false">IF(B957="","",IFERROR(INDEX(Leads!$B:$B,MATCH(B957,Leads!$A:$A,0)),""))</f>
        <v/>
      </c>
      <c r="E957" s="36"/>
      <c r="F957" s="36"/>
      <c r="G957" s="36"/>
      <c r="H957" s="35"/>
      <c r="I957" s="36"/>
    </row>
    <row r="958" customFormat="false" ht="15" hidden="false" customHeight="false" outlineLevel="0" collapsed="false">
      <c r="A958" s="35"/>
      <c r="B958" s="36"/>
      <c r="C958" s="11" t="str">
        <f aca="false">IF(B958="","",IFERROR(INDEX(Leads!$C:$C,MATCH(B958,Leads!$A:$A,0)),"ID not found"))</f>
        <v/>
      </c>
      <c r="D958" s="11" t="str">
        <f aca="false">IF(B958="","",IFERROR(INDEX(Leads!$B:$B,MATCH(B958,Leads!$A:$A,0)),""))</f>
        <v/>
      </c>
      <c r="E958" s="36"/>
      <c r="F958" s="36"/>
      <c r="G958" s="36"/>
      <c r="H958" s="35"/>
      <c r="I958" s="36"/>
    </row>
    <row r="959" customFormat="false" ht="15" hidden="false" customHeight="false" outlineLevel="0" collapsed="false">
      <c r="A959" s="35"/>
      <c r="B959" s="36"/>
      <c r="C959" s="11" t="str">
        <f aca="false">IF(B959="","",IFERROR(INDEX(Leads!$C:$C,MATCH(B959,Leads!$A:$A,0)),"ID not found"))</f>
        <v/>
      </c>
      <c r="D959" s="11" t="str">
        <f aca="false">IF(B959="","",IFERROR(INDEX(Leads!$B:$B,MATCH(B959,Leads!$A:$A,0)),""))</f>
        <v/>
      </c>
      <c r="E959" s="36"/>
      <c r="F959" s="36"/>
      <c r="G959" s="36"/>
      <c r="H959" s="35"/>
      <c r="I959" s="36"/>
    </row>
    <row r="960" customFormat="false" ht="15" hidden="false" customHeight="false" outlineLevel="0" collapsed="false">
      <c r="A960" s="35"/>
      <c r="B960" s="36"/>
      <c r="C960" s="11" t="str">
        <f aca="false">IF(B960="","",IFERROR(INDEX(Leads!$C:$C,MATCH(B960,Leads!$A:$A,0)),"ID not found"))</f>
        <v/>
      </c>
      <c r="D960" s="11" t="str">
        <f aca="false">IF(B960="","",IFERROR(INDEX(Leads!$B:$B,MATCH(B960,Leads!$A:$A,0)),""))</f>
        <v/>
      </c>
      <c r="E960" s="36"/>
      <c r="F960" s="36"/>
      <c r="G960" s="36"/>
      <c r="H960" s="35"/>
      <c r="I960" s="36"/>
    </row>
    <row r="961" customFormat="false" ht="15" hidden="false" customHeight="false" outlineLevel="0" collapsed="false">
      <c r="A961" s="35"/>
      <c r="B961" s="36"/>
      <c r="C961" s="11" t="str">
        <f aca="false">IF(B961="","",IFERROR(INDEX(Leads!$C:$C,MATCH(B961,Leads!$A:$A,0)),"ID not found"))</f>
        <v/>
      </c>
      <c r="D961" s="11" t="str">
        <f aca="false">IF(B961="","",IFERROR(INDEX(Leads!$B:$B,MATCH(B961,Leads!$A:$A,0)),""))</f>
        <v/>
      </c>
      <c r="E961" s="36"/>
      <c r="F961" s="36"/>
      <c r="G961" s="36"/>
      <c r="H961" s="35"/>
      <c r="I961" s="36"/>
    </row>
    <row r="962" customFormat="false" ht="15" hidden="false" customHeight="false" outlineLevel="0" collapsed="false">
      <c r="A962" s="35"/>
      <c r="B962" s="36"/>
      <c r="C962" s="11" t="str">
        <f aca="false">IF(B962="","",IFERROR(INDEX(Leads!$C:$C,MATCH(B962,Leads!$A:$A,0)),"ID not found"))</f>
        <v/>
      </c>
      <c r="D962" s="11" t="str">
        <f aca="false">IF(B962="","",IFERROR(INDEX(Leads!$B:$B,MATCH(B962,Leads!$A:$A,0)),""))</f>
        <v/>
      </c>
      <c r="E962" s="36"/>
      <c r="F962" s="36"/>
      <c r="G962" s="36"/>
      <c r="H962" s="35"/>
      <c r="I962" s="36"/>
    </row>
    <row r="963" customFormat="false" ht="15" hidden="false" customHeight="false" outlineLevel="0" collapsed="false">
      <c r="A963" s="35"/>
      <c r="B963" s="36"/>
      <c r="C963" s="11" t="str">
        <f aca="false">IF(B963="","",IFERROR(INDEX(Leads!$C:$C,MATCH(B963,Leads!$A:$A,0)),"ID not found"))</f>
        <v/>
      </c>
      <c r="D963" s="11" t="str">
        <f aca="false">IF(B963="","",IFERROR(INDEX(Leads!$B:$B,MATCH(B963,Leads!$A:$A,0)),""))</f>
        <v/>
      </c>
      <c r="E963" s="36"/>
      <c r="F963" s="36"/>
      <c r="G963" s="36"/>
      <c r="H963" s="35"/>
      <c r="I963" s="36"/>
    </row>
    <row r="964" customFormat="false" ht="15" hidden="false" customHeight="false" outlineLevel="0" collapsed="false">
      <c r="A964" s="35"/>
      <c r="B964" s="36"/>
      <c r="C964" s="11" t="str">
        <f aca="false">IF(B964="","",IFERROR(INDEX(Leads!$C:$C,MATCH(B964,Leads!$A:$A,0)),"ID not found"))</f>
        <v/>
      </c>
      <c r="D964" s="11" t="str">
        <f aca="false">IF(B964="","",IFERROR(INDEX(Leads!$B:$B,MATCH(B964,Leads!$A:$A,0)),""))</f>
        <v/>
      </c>
      <c r="E964" s="36"/>
      <c r="F964" s="36"/>
      <c r="G964" s="36"/>
      <c r="H964" s="35"/>
      <c r="I964" s="36"/>
    </row>
    <row r="965" customFormat="false" ht="15" hidden="false" customHeight="false" outlineLevel="0" collapsed="false">
      <c r="A965" s="35"/>
      <c r="B965" s="36"/>
      <c r="C965" s="11" t="str">
        <f aca="false">IF(B965="","",IFERROR(INDEX(Leads!$C:$C,MATCH(B965,Leads!$A:$A,0)),"ID not found"))</f>
        <v/>
      </c>
      <c r="D965" s="11" t="str">
        <f aca="false">IF(B965="","",IFERROR(INDEX(Leads!$B:$B,MATCH(B965,Leads!$A:$A,0)),""))</f>
        <v/>
      </c>
      <c r="E965" s="36"/>
      <c r="F965" s="36"/>
      <c r="G965" s="36"/>
      <c r="H965" s="35"/>
      <c r="I965" s="36"/>
    </row>
    <row r="966" customFormat="false" ht="15" hidden="false" customHeight="false" outlineLevel="0" collapsed="false">
      <c r="A966" s="35"/>
      <c r="B966" s="36"/>
      <c r="C966" s="11" t="str">
        <f aca="false">IF(B966="","",IFERROR(INDEX(Leads!$C:$C,MATCH(B966,Leads!$A:$A,0)),"ID not found"))</f>
        <v/>
      </c>
      <c r="D966" s="11" t="str">
        <f aca="false">IF(B966="","",IFERROR(INDEX(Leads!$B:$B,MATCH(B966,Leads!$A:$A,0)),""))</f>
        <v/>
      </c>
      <c r="E966" s="36"/>
      <c r="F966" s="36"/>
      <c r="G966" s="36"/>
      <c r="H966" s="35"/>
      <c r="I966" s="36"/>
    </row>
    <row r="967" customFormat="false" ht="15" hidden="false" customHeight="false" outlineLevel="0" collapsed="false">
      <c r="A967" s="35"/>
      <c r="B967" s="36"/>
      <c r="C967" s="11" t="str">
        <f aca="false">IF(B967="","",IFERROR(INDEX(Leads!$C:$C,MATCH(B967,Leads!$A:$A,0)),"ID not found"))</f>
        <v/>
      </c>
      <c r="D967" s="11" t="str">
        <f aca="false">IF(B967="","",IFERROR(INDEX(Leads!$B:$B,MATCH(B967,Leads!$A:$A,0)),""))</f>
        <v/>
      </c>
      <c r="E967" s="36"/>
      <c r="F967" s="36"/>
      <c r="G967" s="36"/>
      <c r="H967" s="35"/>
      <c r="I967" s="36"/>
    </row>
    <row r="968" customFormat="false" ht="15" hidden="false" customHeight="false" outlineLevel="0" collapsed="false">
      <c r="A968" s="35"/>
      <c r="B968" s="36"/>
      <c r="C968" s="11" t="str">
        <f aca="false">IF(B968="","",IFERROR(INDEX(Leads!$C:$C,MATCH(B968,Leads!$A:$A,0)),"ID not found"))</f>
        <v/>
      </c>
      <c r="D968" s="11" t="str">
        <f aca="false">IF(B968="","",IFERROR(INDEX(Leads!$B:$B,MATCH(B968,Leads!$A:$A,0)),""))</f>
        <v/>
      </c>
      <c r="E968" s="36"/>
      <c r="F968" s="36"/>
      <c r="G968" s="36"/>
      <c r="H968" s="35"/>
      <c r="I968" s="36"/>
    </row>
    <row r="969" customFormat="false" ht="15" hidden="false" customHeight="false" outlineLevel="0" collapsed="false">
      <c r="A969" s="35"/>
      <c r="B969" s="36"/>
      <c r="C969" s="11" t="str">
        <f aca="false">IF(B969="","",IFERROR(INDEX(Leads!$C:$C,MATCH(B969,Leads!$A:$A,0)),"ID not found"))</f>
        <v/>
      </c>
      <c r="D969" s="11" t="str">
        <f aca="false">IF(B969="","",IFERROR(INDEX(Leads!$B:$B,MATCH(B969,Leads!$A:$A,0)),""))</f>
        <v/>
      </c>
      <c r="E969" s="36"/>
      <c r="F969" s="36"/>
      <c r="G969" s="36"/>
      <c r="H969" s="35"/>
      <c r="I969" s="36"/>
    </row>
    <row r="970" customFormat="false" ht="15" hidden="false" customHeight="false" outlineLevel="0" collapsed="false">
      <c r="A970" s="35"/>
      <c r="B970" s="36"/>
      <c r="C970" s="11" t="str">
        <f aca="false">IF(B970="","",IFERROR(INDEX(Leads!$C:$C,MATCH(B970,Leads!$A:$A,0)),"ID not found"))</f>
        <v/>
      </c>
      <c r="D970" s="11" t="str">
        <f aca="false">IF(B970="","",IFERROR(INDEX(Leads!$B:$B,MATCH(B970,Leads!$A:$A,0)),""))</f>
        <v/>
      </c>
      <c r="E970" s="36"/>
      <c r="F970" s="36"/>
      <c r="G970" s="36"/>
      <c r="H970" s="35"/>
      <c r="I970" s="36"/>
    </row>
    <row r="971" customFormat="false" ht="15" hidden="false" customHeight="false" outlineLevel="0" collapsed="false">
      <c r="A971" s="35"/>
      <c r="B971" s="36"/>
      <c r="C971" s="11" t="str">
        <f aca="false">IF(B971="","",IFERROR(INDEX(Leads!$C:$C,MATCH(B971,Leads!$A:$A,0)),"ID not found"))</f>
        <v/>
      </c>
      <c r="D971" s="11" t="str">
        <f aca="false">IF(B971="","",IFERROR(INDEX(Leads!$B:$B,MATCH(B971,Leads!$A:$A,0)),""))</f>
        <v/>
      </c>
      <c r="E971" s="36"/>
      <c r="F971" s="36"/>
      <c r="G971" s="36"/>
      <c r="H971" s="35"/>
      <c r="I971" s="36"/>
    </row>
    <row r="972" customFormat="false" ht="15" hidden="false" customHeight="false" outlineLevel="0" collapsed="false">
      <c r="A972" s="35"/>
      <c r="B972" s="36"/>
      <c r="C972" s="11" t="str">
        <f aca="false">IF(B972="","",IFERROR(INDEX(Leads!$C:$C,MATCH(B972,Leads!$A:$A,0)),"ID not found"))</f>
        <v/>
      </c>
      <c r="D972" s="11" t="str">
        <f aca="false">IF(B972="","",IFERROR(INDEX(Leads!$B:$B,MATCH(B972,Leads!$A:$A,0)),""))</f>
        <v/>
      </c>
      <c r="E972" s="36"/>
      <c r="F972" s="36"/>
      <c r="G972" s="36"/>
      <c r="H972" s="35"/>
      <c r="I972" s="36"/>
    </row>
    <row r="973" customFormat="false" ht="15" hidden="false" customHeight="false" outlineLevel="0" collapsed="false">
      <c r="A973" s="35"/>
      <c r="B973" s="36"/>
      <c r="C973" s="11" t="str">
        <f aca="false">IF(B973="","",IFERROR(INDEX(Leads!$C:$C,MATCH(B973,Leads!$A:$A,0)),"ID not found"))</f>
        <v/>
      </c>
      <c r="D973" s="11" t="str">
        <f aca="false">IF(B973="","",IFERROR(INDEX(Leads!$B:$B,MATCH(B973,Leads!$A:$A,0)),""))</f>
        <v/>
      </c>
      <c r="E973" s="36"/>
      <c r="F973" s="36"/>
      <c r="G973" s="36"/>
      <c r="H973" s="35"/>
      <c r="I973" s="36"/>
    </row>
    <row r="974" customFormat="false" ht="15" hidden="false" customHeight="false" outlineLevel="0" collapsed="false">
      <c r="A974" s="35"/>
      <c r="B974" s="36"/>
      <c r="C974" s="11" t="str">
        <f aca="false">IF(B974="","",IFERROR(INDEX(Leads!$C:$C,MATCH(B974,Leads!$A:$A,0)),"ID not found"))</f>
        <v/>
      </c>
      <c r="D974" s="11" t="str">
        <f aca="false">IF(B974="","",IFERROR(INDEX(Leads!$B:$B,MATCH(B974,Leads!$A:$A,0)),""))</f>
        <v/>
      </c>
      <c r="E974" s="36"/>
      <c r="F974" s="36"/>
      <c r="G974" s="36"/>
      <c r="H974" s="35"/>
      <c r="I974" s="36"/>
    </row>
    <row r="975" customFormat="false" ht="15" hidden="false" customHeight="false" outlineLevel="0" collapsed="false">
      <c r="A975" s="35"/>
      <c r="B975" s="36"/>
      <c r="C975" s="11" t="str">
        <f aca="false">IF(B975="","",IFERROR(INDEX(Leads!$C:$C,MATCH(B975,Leads!$A:$A,0)),"ID not found"))</f>
        <v/>
      </c>
      <c r="D975" s="11" t="str">
        <f aca="false">IF(B975="","",IFERROR(INDEX(Leads!$B:$B,MATCH(B975,Leads!$A:$A,0)),""))</f>
        <v/>
      </c>
      <c r="E975" s="36"/>
      <c r="F975" s="36"/>
      <c r="G975" s="36"/>
      <c r="H975" s="35"/>
      <c r="I975" s="36"/>
    </row>
    <row r="976" customFormat="false" ht="15" hidden="false" customHeight="false" outlineLevel="0" collapsed="false">
      <c r="A976" s="35"/>
      <c r="B976" s="36"/>
      <c r="C976" s="11" t="str">
        <f aca="false">IF(B976="","",IFERROR(INDEX(Leads!$C:$C,MATCH(B976,Leads!$A:$A,0)),"ID not found"))</f>
        <v/>
      </c>
      <c r="D976" s="11" t="str">
        <f aca="false">IF(B976="","",IFERROR(INDEX(Leads!$B:$B,MATCH(B976,Leads!$A:$A,0)),""))</f>
        <v/>
      </c>
      <c r="E976" s="36"/>
      <c r="F976" s="36"/>
      <c r="G976" s="36"/>
      <c r="H976" s="35"/>
      <c r="I976" s="36"/>
    </row>
    <row r="977" customFormat="false" ht="15" hidden="false" customHeight="false" outlineLevel="0" collapsed="false">
      <c r="A977" s="35"/>
      <c r="B977" s="36"/>
      <c r="C977" s="11" t="str">
        <f aca="false">IF(B977="","",IFERROR(INDEX(Leads!$C:$C,MATCH(B977,Leads!$A:$A,0)),"ID not found"))</f>
        <v/>
      </c>
      <c r="D977" s="11" t="str">
        <f aca="false">IF(B977="","",IFERROR(INDEX(Leads!$B:$B,MATCH(B977,Leads!$A:$A,0)),""))</f>
        <v/>
      </c>
      <c r="E977" s="36"/>
      <c r="F977" s="36"/>
      <c r="G977" s="36"/>
      <c r="H977" s="35"/>
      <c r="I977" s="36"/>
    </row>
    <row r="978" customFormat="false" ht="15" hidden="false" customHeight="false" outlineLevel="0" collapsed="false">
      <c r="A978" s="35"/>
      <c r="B978" s="36"/>
      <c r="C978" s="11" t="str">
        <f aca="false">IF(B978="","",IFERROR(INDEX(Leads!$C:$C,MATCH(B978,Leads!$A:$A,0)),"ID not found"))</f>
        <v/>
      </c>
      <c r="D978" s="11" t="str">
        <f aca="false">IF(B978="","",IFERROR(INDEX(Leads!$B:$B,MATCH(B978,Leads!$A:$A,0)),""))</f>
        <v/>
      </c>
      <c r="E978" s="36"/>
      <c r="F978" s="36"/>
      <c r="G978" s="36"/>
      <c r="H978" s="35"/>
      <c r="I978" s="36"/>
    </row>
    <row r="979" customFormat="false" ht="15" hidden="false" customHeight="false" outlineLevel="0" collapsed="false">
      <c r="A979" s="35"/>
      <c r="B979" s="36"/>
      <c r="C979" s="11" t="str">
        <f aca="false">IF(B979="","",IFERROR(INDEX(Leads!$C:$C,MATCH(B979,Leads!$A:$A,0)),"ID not found"))</f>
        <v/>
      </c>
      <c r="D979" s="11" t="str">
        <f aca="false">IF(B979="","",IFERROR(INDEX(Leads!$B:$B,MATCH(B979,Leads!$A:$A,0)),""))</f>
        <v/>
      </c>
      <c r="E979" s="36"/>
      <c r="F979" s="36"/>
      <c r="G979" s="36"/>
      <c r="H979" s="35"/>
      <c r="I979" s="36"/>
    </row>
    <row r="980" customFormat="false" ht="15" hidden="false" customHeight="false" outlineLevel="0" collapsed="false">
      <c r="A980" s="35"/>
      <c r="B980" s="36"/>
      <c r="C980" s="11" t="str">
        <f aca="false">IF(B980="","",IFERROR(INDEX(Leads!$C:$C,MATCH(B980,Leads!$A:$A,0)),"ID not found"))</f>
        <v/>
      </c>
      <c r="D980" s="11" t="str">
        <f aca="false">IF(B980="","",IFERROR(INDEX(Leads!$B:$B,MATCH(B980,Leads!$A:$A,0)),""))</f>
        <v/>
      </c>
      <c r="E980" s="36"/>
      <c r="F980" s="36"/>
      <c r="G980" s="36"/>
      <c r="H980" s="35"/>
      <c r="I980" s="36"/>
    </row>
    <row r="981" customFormat="false" ht="15" hidden="false" customHeight="false" outlineLevel="0" collapsed="false">
      <c r="A981" s="35"/>
      <c r="B981" s="36"/>
      <c r="C981" s="11" t="str">
        <f aca="false">IF(B981="","",IFERROR(INDEX(Leads!$C:$C,MATCH(B981,Leads!$A:$A,0)),"ID not found"))</f>
        <v/>
      </c>
      <c r="D981" s="11" t="str">
        <f aca="false">IF(B981="","",IFERROR(INDEX(Leads!$B:$B,MATCH(B981,Leads!$A:$A,0)),""))</f>
        <v/>
      </c>
      <c r="E981" s="36"/>
      <c r="F981" s="36"/>
      <c r="G981" s="36"/>
      <c r="H981" s="35"/>
      <c r="I981" s="36"/>
    </row>
    <row r="982" customFormat="false" ht="15" hidden="false" customHeight="false" outlineLevel="0" collapsed="false">
      <c r="A982" s="35"/>
      <c r="B982" s="36"/>
      <c r="C982" s="11" t="str">
        <f aca="false">IF(B982="","",IFERROR(INDEX(Leads!$C:$C,MATCH(B982,Leads!$A:$A,0)),"ID not found"))</f>
        <v/>
      </c>
      <c r="D982" s="11" t="str">
        <f aca="false">IF(B982="","",IFERROR(INDEX(Leads!$B:$B,MATCH(B982,Leads!$A:$A,0)),""))</f>
        <v/>
      </c>
      <c r="E982" s="36"/>
      <c r="F982" s="36"/>
      <c r="G982" s="36"/>
      <c r="H982" s="35"/>
      <c r="I982" s="36"/>
    </row>
    <row r="983" customFormat="false" ht="15" hidden="false" customHeight="false" outlineLevel="0" collapsed="false">
      <c r="A983" s="35"/>
      <c r="B983" s="36"/>
      <c r="C983" s="11" t="str">
        <f aca="false">IF(B983="","",IFERROR(INDEX(Leads!$C:$C,MATCH(B983,Leads!$A:$A,0)),"ID not found"))</f>
        <v/>
      </c>
      <c r="D983" s="11" t="str">
        <f aca="false">IF(B983="","",IFERROR(INDEX(Leads!$B:$B,MATCH(B983,Leads!$A:$A,0)),""))</f>
        <v/>
      </c>
      <c r="E983" s="36"/>
      <c r="F983" s="36"/>
      <c r="G983" s="36"/>
      <c r="H983" s="35"/>
      <c r="I983" s="36"/>
    </row>
    <row r="984" customFormat="false" ht="15" hidden="false" customHeight="false" outlineLevel="0" collapsed="false">
      <c r="A984" s="35"/>
      <c r="B984" s="36"/>
      <c r="C984" s="11" t="str">
        <f aca="false">IF(B984="","",IFERROR(INDEX(Leads!$C:$C,MATCH(B984,Leads!$A:$A,0)),"ID not found"))</f>
        <v/>
      </c>
      <c r="D984" s="11" t="str">
        <f aca="false">IF(B984="","",IFERROR(INDEX(Leads!$B:$B,MATCH(B984,Leads!$A:$A,0)),""))</f>
        <v/>
      </c>
      <c r="E984" s="36"/>
      <c r="F984" s="36"/>
      <c r="G984" s="36"/>
      <c r="H984" s="35"/>
      <c r="I984" s="36"/>
    </row>
    <row r="985" customFormat="false" ht="15" hidden="false" customHeight="false" outlineLevel="0" collapsed="false">
      <c r="A985" s="35"/>
      <c r="B985" s="36"/>
      <c r="C985" s="11" t="str">
        <f aca="false">IF(B985="","",IFERROR(INDEX(Leads!$C:$C,MATCH(B985,Leads!$A:$A,0)),"ID not found"))</f>
        <v/>
      </c>
      <c r="D985" s="11" t="str">
        <f aca="false">IF(B985="","",IFERROR(INDEX(Leads!$B:$B,MATCH(B985,Leads!$A:$A,0)),""))</f>
        <v/>
      </c>
      <c r="E985" s="36"/>
      <c r="F985" s="36"/>
      <c r="G985" s="36"/>
      <c r="H985" s="35"/>
      <c r="I985" s="36"/>
    </row>
    <row r="986" customFormat="false" ht="15" hidden="false" customHeight="false" outlineLevel="0" collapsed="false">
      <c r="A986" s="35"/>
      <c r="B986" s="36"/>
      <c r="C986" s="11" t="str">
        <f aca="false">IF(B986="","",IFERROR(INDEX(Leads!$C:$C,MATCH(B986,Leads!$A:$A,0)),"ID not found"))</f>
        <v/>
      </c>
      <c r="D986" s="11" t="str">
        <f aca="false">IF(B986="","",IFERROR(INDEX(Leads!$B:$B,MATCH(B986,Leads!$A:$A,0)),""))</f>
        <v/>
      </c>
      <c r="E986" s="36"/>
      <c r="F986" s="36"/>
      <c r="G986" s="36"/>
      <c r="H986" s="35"/>
      <c r="I986" s="36"/>
    </row>
    <row r="987" customFormat="false" ht="15" hidden="false" customHeight="false" outlineLevel="0" collapsed="false">
      <c r="A987" s="35"/>
      <c r="B987" s="36"/>
      <c r="C987" s="11" t="str">
        <f aca="false">IF(B987="","",IFERROR(INDEX(Leads!$C:$C,MATCH(B987,Leads!$A:$A,0)),"ID not found"))</f>
        <v/>
      </c>
      <c r="D987" s="11" t="str">
        <f aca="false">IF(B987="","",IFERROR(INDEX(Leads!$B:$B,MATCH(B987,Leads!$A:$A,0)),""))</f>
        <v/>
      </c>
      <c r="E987" s="36"/>
      <c r="F987" s="36"/>
      <c r="G987" s="36"/>
      <c r="H987" s="35"/>
      <c r="I987" s="36"/>
    </row>
    <row r="988" customFormat="false" ht="15" hidden="false" customHeight="false" outlineLevel="0" collapsed="false">
      <c r="A988" s="35"/>
      <c r="B988" s="36"/>
      <c r="C988" s="11" t="str">
        <f aca="false">IF(B988="","",IFERROR(INDEX(Leads!$C:$C,MATCH(B988,Leads!$A:$A,0)),"ID not found"))</f>
        <v/>
      </c>
      <c r="D988" s="11" t="str">
        <f aca="false">IF(B988="","",IFERROR(INDEX(Leads!$B:$B,MATCH(B988,Leads!$A:$A,0)),""))</f>
        <v/>
      </c>
      <c r="E988" s="36"/>
      <c r="F988" s="36"/>
      <c r="G988" s="36"/>
      <c r="H988" s="35"/>
      <c r="I988" s="36"/>
    </row>
    <row r="989" customFormat="false" ht="15" hidden="false" customHeight="false" outlineLevel="0" collapsed="false">
      <c r="A989" s="35"/>
      <c r="B989" s="36"/>
      <c r="C989" s="11" t="str">
        <f aca="false">IF(B989="","",IFERROR(INDEX(Leads!$C:$C,MATCH(B989,Leads!$A:$A,0)),"ID not found"))</f>
        <v/>
      </c>
      <c r="D989" s="11" t="str">
        <f aca="false">IF(B989="","",IFERROR(INDEX(Leads!$B:$B,MATCH(B989,Leads!$A:$A,0)),""))</f>
        <v/>
      </c>
      <c r="E989" s="36"/>
      <c r="F989" s="36"/>
      <c r="G989" s="36"/>
      <c r="H989" s="35"/>
      <c r="I989" s="36"/>
    </row>
    <row r="990" customFormat="false" ht="15" hidden="false" customHeight="false" outlineLevel="0" collapsed="false">
      <c r="A990" s="35"/>
      <c r="B990" s="36"/>
      <c r="C990" s="11" t="str">
        <f aca="false">IF(B990="","",IFERROR(INDEX(Leads!$C:$C,MATCH(B990,Leads!$A:$A,0)),"ID not found"))</f>
        <v/>
      </c>
      <c r="D990" s="11" t="str">
        <f aca="false">IF(B990="","",IFERROR(INDEX(Leads!$B:$B,MATCH(B990,Leads!$A:$A,0)),""))</f>
        <v/>
      </c>
      <c r="E990" s="36"/>
      <c r="F990" s="36"/>
      <c r="G990" s="36"/>
      <c r="H990" s="35"/>
      <c r="I990" s="36"/>
    </row>
    <row r="991" customFormat="false" ht="15" hidden="false" customHeight="false" outlineLevel="0" collapsed="false">
      <c r="A991" s="35"/>
      <c r="B991" s="36"/>
      <c r="C991" s="11" t="str">
        <f aca="false">IF(B991="","",IFERROR(INDEX(Leads!$C:$C,MATCH(B991,Leads!$A:$A,0)),"ID not found"))</f>
        <v/>
      </c>
      <c r="D991" s="11" t="str">
        <f aca="false">IF(B991="","",IFERROR(INDEX(Leads!$B:$B,MATCH(B991,Leads!$A:$A,0)),""))</f>
        <v/>
      </c>
      <c r="E991" s="36"/>
      <c r="F991" s="36"/>
      <c r="G991" s="36"/>
      <c r="H991" s="35"/>
      <c r="I991" s="36"/>
    </row>
    <row r="992" customFormat="false" ht="15" hidden="false" customHeight="false" outlineLevel="0" collapsed="false">
      <c r="A992" s="35"/>
      <c r="B992" s="36"/>
      <c r="C992" s="11" t="str">
        <f aca="false">IF(B992="","",IFERROR(INDEX(Leads!$C:$C,MATCH(B992,Leads!$A:$A,0)),"ID not found"))</f>
        <v/>
      </c>
      <c r="D992" s="11" t="str">
        <f aca="false">IF(B992="","",IFERROR(INDEX(Leads!$B:$B,MATCH(B992,Leads!$A:$A,0)),""))</f>
        <v/>
      </c>
      <c r="E992" s="36"/>
      <c r="F992" s="36"/>
      <c r="G992" s="36"/>
      <c r="H992" s="35"/>
      <c r="I992" s="36"/>
    </row>
    <row r="993" customFormat="false" ht="15" hidden="false" customHeight="false" outlineLevel="0" collapsed="false">
      <c r="A993" s="35"/>
      <c r="B993" s="36"/>
      <c r="C993" s="11" t="str">
        <f aca="false">IF(B993="","",IFERROR(INDEX(Leads!$C:$C,MATCH(B993,Leads!$A:$A,0)),"ID not found"))</f>
        <v/>
      </c>
      <c r="D993" s="11" t="str">
        <f aca="false">IF(B993="","",IFERROR(INDEX(Leads!$B:$B,MATCH(B993,Leads!$A:$A,0)),""))</f>
        <v/>
      </c>
      <c r="E993" s="36"/>
      <c r="F993" s="36"/>
      <c r="G993" s="36"/>
      <c r="H993" s="35"/>
      <c r="I993" s="36"/>
    </row>
    <row r="994" customFormat="false" ht="15" hidden="false" customHeight="false" outlineLevel="0" collapsed="false">
      <c r="A994" s="35"/>
      <c r="B994" s="36"/>
      <c r="C994" s="11" t="str">
        <f aca="false">IF(B994="","",IFERROR(INDEX(Leads!$C:$C,MATCH(B994,Leads!$A:$A,0)),"ID not found"))</f>
        <v/>
      </c>
      <c r="D994" s="11" t="str">
        <f aca="false">IF(B994="","",IFERROR(INDEX(Leads!$B:$B,MATCH(B994,Leads!$A:$A,0)),""))</f>
        <v/>
      </c>
      <c r="E994" s="36"/>
      <c r="F994" s="36"/>
      <c r="G994" s="36"/>
      <c r="H994" s="35"/>
      <c r="I994" s="36"/>
    </row>
    <row r="995" customFormat="false" ht="15" hidden="false" customHeight="false" outlineLevel="0" collapsed="false">
      <c r="A995" s="35"/>
      <c r="B995" s="36"/>
      <c r="C995" s="11" t="str">
        <f aca="false">IF(B995="","",IFERROR(INDEX(Leads!$C:$C,MATCH(B995,Leads!$A:$A,0)),"ID not found"))</f>
        <v/>
      </c>
      <c r="D995" s="11" t="str">
        <f aca="false">IF(B995="","",IFERROR(INDEX(Leads!$B:$B,MATCH(B995,Leads!$A:$A,0)),""))</f>
        <v/>
      </c>
      <c r="E995" s="36"/>
      <c r="F995" s="36"/>
      <c r="G995" s="36"/>
      <c r="H995" s="35"/>
      <c r="I995" s="36"/>
    </row>
    <row r="996" customFormat="false" ht="15" hidden="false" customHeight="false" outlineLevel="0" collapsed="false">
      <c r="A996" s="35"/>
      <c r="B996" s="36"/>
      <c r="C996" s="11" t="str">
        <f aca="false">IF(B996="","",IFERROR(INDEX(Leads!$C:$C,MATCH(B996,Leads!$A:$A,0)),"ID not found"))</f>
        <v/>
      </c>
      <c r="D996" s="11" t="str">
        <f aca="false">IF(B996="","",IFERROR(INDEX(Leads!$B:$B,MATCH(B996,Leads!$A:$A,0)),""))</f>
        <v/>
      </c>
      <c r="E996" s="36"/>
      <c r="F996" s="36"/>
      <c r="G996" s="36"/>
      <c r="H996" s="35"/>
      <c r="I996" s="36"/>
    </row>
    <row r="997" customFormat="false" ht="15" hidden="false" customHeight="false" outlineLevel="0" collapsed="false">
      <c r="A997" s="35"/>
      <c r="B997" s="36"/>
      <c r="C997" s="11" t="str">
        <f aca="false">IF(B997="","",IFERROR(INDEX(Leads!$C:$C,MATCH(B997,Leads!$A:$A,0)),"ID not found"))</f>
        <v/>
      </c>
      <c r="D997" s="11" t="str">
        <f aca="false">IF(B997="","",IFERROR(INDEX(Leads!$B:$B,MATCH(B997,Leads!$A:$A,0)),""))</f>
        <v/>
      </c>
      <c r="E997" s="36"/>
      <c r="F997" s="36"/>
      <c r="G997" s="36"/>
      <c r="H997" s="35"/>
      <c r="I997" s="36"/>
    </row>
    <row r="998" customFormat="false" ht="15" hidden="false" customHeight="false" outlineLevel="0" collapsed="false">
      <c r="A998" s="35"/>
      <c r="B998" s="36"/>
      <c r="C998" s="11" t="str">
        <f aca="false">IF(B998="","",IFERROR(INDEX(Leads!$C:$C,MATCH(B998,Leads!$A:$A,0)),"ID not found"))</f>
        <v/>
      </c>
      <c r="D998" s="11" t="str">
        <f aca="false">IF(B998="","",IFERROR(INDEX(Leads!$B:$B,MATCH(B998,Leads!$A:$A,0)),""))</f>
        <v/>
      </c>
      <c r="E998" s="36"/>
      <c r="F998" s="36"/>
      <c r="G998" s="36"/>
      <c r="H998" s="35"/>
      <c r="I998" s="36"/>
    </row>
    <row r="999" customFormat="false" ht="15" hidden="false" customHeight="false" outlineLevel="0" collapsed="false">
      <c r="A999" s="35"/>
      <c r="B999" s="36"/>
      <c r="C999" s="11" t="str">
        <f aca="false">IF(B999="","",IFERROR(INDEX(Leads!$C:$C,MATCH(B999,Leads!$A:$A,0)),"ID not found"))</f>
        <v/>
      </c>
      <c r="D999" s="11" t="str">
        <f aca="false">IF(B999="","",IFERROR(INDEX(Leads!$B:$B,MATCH(B999,Leads!$A:$A,0)),""))</f>
        <v/>
      </c>
      <c r="E999" s="36"/>
      <c r="F999" s="36"/>
      <c r="G999" s="36"/>
      <c r="H999" s="35"/>
      <c r="I999" s="36"/>
    </row>
    <row r="1000" customFormat="false" ht="15" hidden="false" customHeight="false" outlineLevel="0" collapsed="false">
      <c r="A1000" s="35"/>
      <c r="B1000" s="36"/>
      <c r="C1000" s="11" t="str">
        <f aca="false">IF(B1000="","",IFERROR(INDEX(Leads!$C:$C,MATCH(B1000,Leads!$A:$A,0)),"ID not found"))</f>
        <v/>
      </c>
      <c r="D1000" s="11" t="str">
        <f aca="false">IF(B1000="","",IFERROR(INDEX(Leads!$B:$B,MATCH(B1000,Leads!$A:$A,0)),""))</f>
        <v/>
      </c>
      <c r="E1000" s="36"/>
      <c r="F1000" s="36"/>
      <c r="G1000" s="36"/>
      <c r="H1000" s="35"/>
      <c r="I1000" s="36"/>
    </row>
  </sheetData>
  <mergeCells count="1">
    <mergeCell ref="A2:I2"/>
  </mergeCells>
  <dataValidations count="2">
    <dataValidation allowBlank="true" errorStyle="stop" operator="between" showDropDown="false" showErrorMessage="false" showInputMessage="false" sqref="E4:E1000" type="list">
      <formula1>"No Answer,Call Back Later,Interested,Meeting Booked,Proposal Sent,Converted,Not Interested,Wrong / Invalid Number"</formula1>
      <formula2>0</formula2>
    </dataValidation>
    <dataValidation allowBlank="true" errorStyle="stop" operator="greaterThan" showDropDown="false" showErrorMessage="false" showInputMessage="false" sqref="A5:A1000 H5:H1000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2E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48"/>
  </cols>
  <sheetData>
    <row r="1" customFormat="false" ht="22.05" hidden="false" customHeight="false" outlineLevel="0" collapsed="false">
      <c r="A1" s="1" t="s">
        <v>772</v>
      </c>
    </row>
    <row r="3" customFormat="false" ht="15" hidden="false" customHeight="false" outlineLevel="0" collapsed="false">
      <c r="A3" s="10" t="s">
        <v>14</v>
      </c>
      <c r="B3" s="10" t="s">
        <v>773</v>
      </c>
      <c r="C3" s="10" t="s">
        <v>774</v>
      </c>
      <c r="D3" s="10" t="s">
        <v>775</v>
      </c>
      <c r="E3" s="10" t="s">
        <v>776</v>
      </c>
    </row>
    <row r="4" customFormat="false" ht="120" hidden="false" customHeight="true" outlineLevel="0" collapsed="false">
      <c r="A4" s="37" t="s">
        <v>21</v>
      </c>
      <c r="B4" s="19" t="s">
        <v>95</v>
      </c>
      <c r="C4" s="19" t="s">
        <v>135</v>
      </c>
      <c r="D4" s="19" t="s">
        <v>777</v>
      </c>
      <c r="E4" s="19" t="s">
        <v>778</v>
      </c>
    </row>
    <row r="5" customFormat="false" ht="120" hidden="false" customHeight="true" outlineLevel="0" collapsed="false">
      <c r="A5" s="38" t="s">
        <v>23</v>
      </c>
      <c r="B5" s="27" t="s">
        <v>338</v>
      </c>
      <c r="C5" s="27" t="s">
        <v>779</v>
      </c>
      <c r="D5" s="27" t="s">
        <v>780</v>
      </c>
      <c r="E5" s="27" t="s">
        <v>781</v>
      </c>
    </row>
    <row r="6" customFormat="false" ht="120" hidden="false" customHeight="true" outlineLevel="0" collapsed="false">
      <c r="A6" s="37" t="s">
        <v>26</v>
      </c>
      <c r="B6" s="19" t="s">
        <v>383</v>
      </c>
      <c r="C6" s="19" t="s">
        <v>782</v>
      </c>
      <c r="D6" s="19" t="s">
        <v>783</v>
      </c>
      <c r="E6" s="19" t="s">
        <v>784</v>
      </c>
    </row>
    <row r="7" customFormat="false" ht="120" hidden="false" customHeight="true" outlineLevel="0" collapsed="false">
      <c r="A7" s="38" t="s">
        <v>29</v>
      </c>
      <c r="B7" s="27" t="s">
        <v>481</v>
      </c>
      <c r="C7" s="27" t="s">
        <v>504</v>
      </c>
      <c r="D7" s="27" t="s">
        <v>785</v>
      </c>
      <c r="E7" s="27" t="s">
        <v>786</v>
      </c>
    </row>
    <row r="8" customFormat="false" ht="120" hidden="false" customHeight="true" outlineLevel="0" collapsed="false">
      <c r="A8" s="37" t="s">
        <v>31</v>
      </c>
      <c r="B8" s="19" t="s">
        <v>655</v>
      </c>
      <c r="C8" s="19" t="s">
        <v>703</v>
      </c>
      <c r="D8" s="19" t="s">
        <v>787</v>
      </c>
      <c r="E8" s="19" t="s">
        <v>788</v>
      </c>
    </row>
    <row r="10" customFormat="false" ht="15" hidden="false" customHeight="false" outlineLevel="0" collapsed="false">
      <c r="A10" s="9" t="s">
        <v>789</v>
      </c>
    </row>
    <row r="11" customFormat="false" ht="15" hidden="false" customHeight="false" outlineLevel="0" collapsed="false">
      <c r="A11" s="39" t="s">
        <v>790</v>
      </c>
      <c r="B11" s="39" t="s">
        <v>791</v>
      </c>
    </row>
    <row r="12" customFormat="false" ht="15" hidden="false" customHeight="false" outlineLevel="0" collapsed="false">
      <c r="A12" s="39" t="s">
        <v>792</v>
      </c>
      <c r="B12" s="39" t="s">
        <v>793</v>
      </c>
    </row>
    <row r="13" customFormat="false" ht="15" hidden="false" customHeight="false" outlineLevel="0" collapsed="false">
      <c r="A13" s="39" t="s">
        <v>794</v>
      </c>
      <c r="B13" s="39" t="s">
        <v>795</v>
      </c>
    </row>
    <row r="14" customFormat="false" ht="15" hidden="false" customHeight="false" outlineLevel="0" collapsed="false">
      <c r="A14" s="39" t="s">
        <v>796</v>
      </c>
      <c r="B14" s="39" t="s">
        <v>797</v>
      </c>
    </row>
    <row r="15" customFormat="false" ht="15" hidden="false" customHeight="false" outlineLevel="0" collapsed="false">
      <c r="A15" s="39" t="s">
        <v>798</v>
      </c>
      <c r="B15" s="39" t="s">
        <v>799</v>
      </c>
    </row>
    <row r="16" customFormat="false" ht="15" hidden="false" customHeight="false" outlineLevel="0" collapsed="false">
      <c r="A16" s="39" t="s">
        <v>800</v>
      </c>
      <c r="B16" s="39" t="s">
        <v>801</v>
      </c>
    </row>
    <row r="17" customFormat="false" ht="15" hidden="false" customHeight="false" outlineLevel="0" collapsed="false">
      <c r="A17" s="39" t="s">
        <v>802</v>
      </c>
      <c r="B17" s="39" t="s">
        <v>803</v>
      </c>
    </row>
    <row r="18" customFormat="false" ht="15" hidden="false" customHeight="false" outlineLevel="0" collapsed="false">
      <c r="A18" s="39" t="s">
        <v>804</v>
      </c>
      <c r="B18" s="39" t="s">
        <v>805</v>
      </c>
    </row>
    <row r="20" customFormat="false" ht="15" hidden="false" customHeight="false" outlineLevel="0" collapsed="false">
      <c r="A20" s="32" t="s">
        <v>806</v>
      </c>
      <c r="B20" s="32"/>
      <c r="C20" s="32"/>
      <c r="D20" s="32"/>
      <c r="E20" s="32"/>
    </row>
  </sheetData>
  <mergeCells count="1"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2E"/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0" t="s">
        <v>807</v>
      </c>
    </row>
    <row r="2" customFormat="false" ht="25.35" hidden="false" customHeight="false" outlineLevel="0" collapsed="false">
      <c r="A2" s="41" t="s">
        <v>808</v>
      </c>
    </row>
    <row r="3" customFormat="false" ht="25.35" hidden="false" customHeight="false" outlineLevel="0" collapsed="false">
      <c r="A3" s="41" t="s">
        <v>809</v>
      </c>
    </row>
    <row r="4" customFormat="false" ht="25.35" hidden="false" customHeight="false" outlineLevel="0" collapsed="false">
      <c r="A4" s="41" t="s">
        <v>810</v>
      </c>
    </row>
    <row r="5" customFormat="false" ht="25.35" hidden="false" customHeight="false" outlineLevel="0" collapsed="false">
      <c r="A5" s="41" t="s">
        <v>811</v>
      </c>
    </row>
    <row r="6" customFormat="false" ht="25.35" hidden="false" customHeight="false" outlineLevel="0" collapsed="false">
      <c r="A6" s="41" t="s">
        <v>812</v>
      </c>
    </row>
    <row r="7" customFormat="false" ht="25.35" hidden="false" customHeight="false" outlineLevel="0" collapsed="false">
      <c r="A7" s="41" t="s">
        <v>813</v>
      </c>
    </row>
    <row r="8" customFormat="false" ht="15" hidden="false" customHeight="false" outlineLevel="0" collapsed="false">
      <c r="A8" s="41"/>
    </row>
    <row r="9" customFormat="false" ht="15" hidden="false" customHeight="false" outlineLevel="0" collapsed="false">
      <c r="A9" s="40" t="s">
        <v>814</v>
      </c>
    </row>
    <row r="10" customFormat="false" ht="25.35" hidden="false" customHeight="false" outlineLevel="0" collapsed="false">
      <c r="A10" s="4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2026-10-20T18:18:48Z</dcterms:created>
  <dc:creator>openpyxl</dc:creator>
  <dc:description/>
  <dc:language>en-US</dc:language>
  <cp:lastModifiedBy/>
  <dcterms:modified xsi:type="dcterms:W3CDTF">2026-10-20T18:18:50Z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